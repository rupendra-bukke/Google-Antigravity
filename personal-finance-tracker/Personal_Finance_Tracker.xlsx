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Dashboard" sheetId="1" state="visible" r:id="rId1"/>
    <sheet name="Loans_Dashboard" sheetId="2" state="visible" r:id="rId2"/>
    <sheet name="Loans" sheetId="3" state="visible" r:id="rId3"/>
    <sheet name="School_Fees_Dashboard" sheetId="4" state="visible" r:id="rId4"/>
    <sheet name="School_Fees" sheetId="5" state="visible" r:id="rId5"/>
    <sheet name="EMIs_Dashboard" sheetId="6" state="visible" r:id="rId6"/>
    <sheet name="EMIs" sheetId="7" state="visible" r:id="rId7"/>
    <sheet name="Other_Dashboard" sheetId="8" state="visible" r:id="rId8"/>
    <sheet name="Other_Expenses" sheetId="9" state="visible" r:id="rId9"/>
    <sheet name="Setu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1F4E79"/>
      <sz val="11"/>
    </font>
    <font>
      <b val="1"/>
      <color rgb="00FFFFFF"/>
      <sz val="11"/>
    </font>
    <font>
      <b val="1"/>
    </font>
    <font>
      <b val="1"/>
      <color rgb="00375623"/>
      <sz val="12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3" fontId="6" fillId="4" borderId="0" pivotButton="0" quotePrefix="0" xfId="0"/>
    <xf numFmtId="0" fontId="6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Spending Mix</a:t>
            </a:r>
          </a:p>
        </rich>
      </tx>
    </title>
    <plotArea>
      <pieChart>
        <varyColors val="1"/>
        <ser>
          <idx val="0"/>
          <order val="0"/>
          <tx>
            <strRef>
              <f>'Overview_Dashboard'!B12</f>
            </strRef>
          </tx>
          <spPr>
            <a:ln>
              <a:prstDash val="solid"/>
            </a:ln>
          </spPr>
          <cat>
            <numRef>
              <f>'Overview_Dashboard'!$A$13:$A$16</f>
            </numRef>
          </cat>
          <val>
            <numRef>
              <f>'Overview_Dashboard'!$B$13:$B$16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Payments by Loan</a:t>
            </a:r>
          </a:p>
        </rich>
      </tx>
    </title>
    <plotArea>
      <pieChart>
        <varyColors val="1"/>
        <ser>
          <idx val="0"/>
          <order val="0"/>
          <tx>
            <strRef>
              <f>'Loans_Dashboard'!B10</f>
            </strRef>
          </tx>
          <spPr>
            <a:ln>
              <a:prstDash val="solid"/>
            </a:ln>
          </spPr>
          <cat>
            <numRef>
              <f>'Loans_Dashboard'!$A$11:$A$14</f>
            </numRef>
          </cat>
          <val>
            <numRef>
              <f>'Loans_Dashboard'!$B$11:$B$14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Interest vs Principal (monthly entries)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'Loans_Dashboard'!B17</f>
            </strRef>
          </tx>
          <spPr>
            <a:ln>
              <a:prstDash val="solid"/>
            </a:ln>
          </spPr>
          <cat>
            <numRef>
              <f>'Loans_Dashboard'!$A$18:$A$19</f>
            </numRef>
          </cat>
          <val>
            <numRef>
              <f>'Loans_Dashboard'!$B$18:$B$19</f>
            </numRef>
          </val>
        </ser>
        <ser>
          <idx val="1"/>
          <order val="1"/>
          <tx>
            <strRef>
              <f>'Loans_Dashboard'!C17</f>
            </strRef>
          </tx>
          <spPr>
            <a:ln>
              <a:prstDash val="solid"/>
            </a:ln>
          </spPr>
          <cat>
            <numRef>
              <f>'Loans_Dashboard'!$A$18:$A$19</f>
            </numRef>
          </cat>
          <val>
            <numRef>
              <f>'Loans_Dashboard'!$C$18:$C$19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Fees Paid by Child</a:t>
            </a:r>
          </a:p>
        </rich>
      </tx>
    </title>
    <plotArea>
      <pieChart>
        <varyColors val="1"/>
        <ser>
          <idx val="0"/>
          <order val="0"/>
          <tx>
            <strRef>
              <f>'School_Fees_Dashboard'!B10</f>
            </strRef>
          </tx>
          <spPr>
            <a:ln>
              <a:prstDash val="solid"/>
            </a:ln>
          </spPr>
          <cat>
            <numRef>
              <f>'School_Fees_Dashboard'!$A$11:$A$12</f>
            </numRef>
          </cat>
          <val>
            <numRef>
              <f>'School_Fees_Dashboard'!$B$11:$B$12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Fees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'School_Fees_Dashboard'!B15</f>
            </strRef>
          </tx>
          <spPr>
            <a:ln>
              <a:prstDash val="solid"/>
            </a:ln>
          </spPr>
          <cat>
            <numRef>
              <f>'School_Fees_Dashboard'!$A$16:$A$18</f>
            </numRef>
          </cat>
          <val>
            <numRef>
              <f>'School_Fees_Dashboard'!$B$16:$B$18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EMI Load by Category</a:t>
            </a:r>
          </a:p>
        </rich>
      </tx>
    </title>
    <plotArea>
      <pieChart>
        <varyColors val="1"/>
        <ser>
          <idx val="0"/>
          <order val="0"/>
          <tx>
            <strRef>
              <f>'EMIs_Dashboard'!B10</f>
            </strRef>
          </tx>
          <spPr>
            <a:ln>
              <a:prstDash val="solid"/>
            </a:ln>
          </spPr>
          <cat>
            <numRef>
              <f>'EMIs_Dashboard'!$A$11:$A$13</f>
            </numRef>
          </cat>
          <val>
            <numRef>
              <f>'EMIs_Dashboard'!$B$11:$B$13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EMI Payments Trend</a:t>
            </a:r>
          </a:p>
        </rich>
      </tx>
    </title>
    <plotArea>
      <lineChart>
        <grouping val="standard"/>
        <ser>
          <idx val="0"/>
          <order val="0"/>
          <tx>
            <strRef>
              <f>'EMIs_Dashboard'!B16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'EMIs_Dashboard'!$A$17:$A$19</f>
            </numRef>
          </cat>
          <val>
            <numRef>
              <f>'EMIs_Dashboard'!$B$17:$B$19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 by Category</a:t>
            </a:r>
          </a:p>
        </rich>
      </tx>
    </title>
    <plotArea>
      <pieChart>
        <varyColors val="1"/>
        <ser>
          <idx val="0"/>
          <order val="0"/>
          <tx>
            <strRef>
              <f>'Other_Dashboard'!B9</f>
            </strRef>
          </tx>
          <spPr>
            <a:ln>
              <a:prstDash val="solid"/>
            </a:ln>
          </spPr>
          <cat>
            <numRef>
              <f>'Other_Dashboard'!$A$10:$A$13</f>
            </numRef>
          </cat>
          <val>
            <numRef>
              <f>'Other_Dashboard'!$B$10:$B$13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Loans" displayName="tbl_Loans" ref="A4:Q7" headerRowCount="1">
  <autoFilter ref="A4:Q7"/>
  <tableColumns count="17">
    <tableColumn id="1" name="Entry_ID"/>
    <tableColumn id="2" name="Entry_Date"/>
    <tableColumn id="3" name="Loan_Name"/>
    <tableColumn id="4" name="Lender"/>
    <tableColumn id="5" name="Loan_Type"/>
    <tableColumn id="6" name="Principal"/>
    <tableColumn id="7" name="Interest_Rate"/>
    <tableColumn id="8" name="Tenure_Months"/>
    <tableColumn id="9" name="EMI_Amount"/>
    <tableColumn id="10" name="Payment_Date"/>
    <tableColumn id="11" name="Amount_Paid"/>
    <tableColumn id="12" name="Principal_Paid"/>
    <tableColumn id="13" name="Interest_Paid"/>
    <tableColumn id="14" name="Outstanding_Balance"/>
    <tableColumn id="15" name="Payment_Method"/>
    <tableColumn id="16" name="Status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chool_Fees" displayName="tbl_School_Fees" ref="A4:N7" headerRowCount="1">
  <autoFilter ref="A4:N7"/>
  <tableColumns count="14">
    <tableColumn id="1" name="Entry_ID"/>
    <tableColumn id="2" name="Entry_Date"/>
    <tableColumn id="3" name="Child_Name"/>
    <tableColumn id="4" name="School"/>
    <tableColumn id="5" name="Academic_Year"/>
    <tableColumn id="6" name="Term"/>
    <tableColumn id="7" name="Fee_Type"/>
    <tableColumn id="8" name="Amount_Due"/>
    <tableColumn id="9" name="Due_Date"/>
    <tableColumn id="10" name="Payment_Date"/>
    <tableColumn id="11" name="Amount_Paid"/>
    <tableColumn id="12" name="Payment_Method"/>
    <tableColumn id="13" name="Status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EMIs" displayName="tbl_EMIs" ref="A4:P7" headerRowCount="1">
  <autoFilter ref="A4:P7"/>
  <tableColumns count="16">
    <tableColumn id="1" name="Entry_ID"/>
    <tableColumn id="2" name="Entry_Date"/>
    <tableColumn id="3" name="Item_Name"/>
    <tableColumn id="4" name="Category"/>
    <tableColumn id="5" name="Vendor_Lender"/>
    <tableColumn id="6" name="Total_Price"/>
    <tableColumn id="7" name="EMI_Amount"/>
    <tableColumn id="8" name="Tenure_Months"/>
    <tableColumn id="9" name="EMIs_Paid"/>
    <tableColumn id="10" name="EMIs_Remaining"/>
    <tableColumn id="11" name="Next_Due_Date"/>
    <tableColumn id="12" name="Payment_Date"/>
    <tableColumn id="13" name="Amount_Paid"/>
    <tableColumn id="14" name="Payment_Method"/>
    <tableColumn id="15" name="Status"/>
    <tableColumn id="1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ther_Expenses" displayName="tbl_Other_Expenses" ref="A4:K7" headerRowCount="1">
  <autoFilter ref="A4:K7"/>
  <tableColumns count="11">
    <tableColumn id="1" name="Entry_ID"/>
    <tableColumn id="2" name="Entry_Date"/>
    <tableColumn id="3" name="Category"/>
    <tableColumn id="4" name="Subcategory"/>
    <tableColumn id="5" name="Description"/>
    <tableColumn id="6" name="Amount"/>
    <tableColumn id="7" name="Payment_Method"/>
    <tableColumn id="8" name="Recurring"/>
    <tableColumn id="9" name="Frequency"/>
    <tableColumn id="10" name="Status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Family Finance — Overview</t>
        </is>
      </c>
    </row>
    <row r="3">
      <c r="A3" s="2" t="inlineStr">
        <is>
          <t>Summary KPIs</t>
        </is>
      </c>
    </row>
    <row r="4">
      <c r="A4" s="3" t="inlineStr">
        <is>
          <t>Total Loan Payments</t>
        </is>
      </c>
      <c r="B4" s="4">
        <f>SUM(Loans!K5:K500)</f>
        <v/>
      </c>
    </row>
    <row r="5">
      <c r="A5" s="3" t="inlineStr">
        <is>
          <t>Total School Fees Paid</t>
        </is>
      </c>
      <c r="B5" s="4">
        <f>SUM(School_Fees!K5:K500)</f>
        <v/>
      </c>
    </row>
    <row r="6">
      <c r="A6" s="3" t="inlineStr">
        <is>
          <t>Total EMI Payments</t>
        </is>
      </c>
      <c r="B6" s="4">
        <f>SUM(EMIs!M5:M500)</f>
        <v/>
      </c>
    </row>
    <row r="7">
      <c r="A7" s="3" t="inlineStr">
        <is>
          <t>Other Expenses</t>
        </is>
      </c>
      <c r="B7" s="4">
        <f>SUM(Other_Expenses!F5:F500)</f>
        <v/>
      </c>
    </row>
    <row r="8">
      <c r="A8" s="3" t="inlineStr">
        <is>
          <t>Grand Total Outflow</t>
        </is>
      </c>
      <c r="B8" s="5">
        <f>B4+B5+B6+B7</f>
        <v/>
      </c>
    </row>
    <row r="12">
      <c r="A12" s="6" t="inlineStr">
        <is>
          <t>Category</t>
        </is>
      </c>
      <c r="B12" s="6" t="inlineStr">
        <is>
          <t>Amount</t>
        </is>
      </c>
    </row>
    <row r="13">
      <c r="A13" t="inlineStr">
        <is>
          <t>Loans</t>
        </is>
      </c>
      <c r="B13" s="7">
        <f>SUM(Loans!K5:K500)</f>
        <v/>
      </c>
    </row>
    <row r="14">
      <c r="A14" t="inlineStr">
        <is>
          <t>School Fees</t>
        </is>
      </c>
      <c r="B14" s="7">
        <f>SUM(School_Fees!K5:K500)</f>
        <v/>
      </c>
    </row>
    <row r="15">
      <c r="A15" t="inlineStr">
        <is>
          <t>EMIs</t>
        </is>
      </c>
      <c r="B15" s="7">
        <f>SUM(EMIs!M5:M500)</f>
        <v/>
      </c>
    </row>
    <row r="16">
      <c r="A16" t="inlineStr">
        <is>
          <t>Other</t>
        </is>
      </c>
      <c r="B16" s="7">
        <f>SUM(Other_Expenses!F5:F500)</f>
        <v/>
      </c>
    </row>
    <row r="22">
      <c r="A22" s="8" t="inlineStr">
        <is>
          <t>Tip: Pin Overview_Dashboard as the first visible tab in Excel for a quick monthly review.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Loans Dashboard</t>
        </is>
      </c>
    </row>
    <row r="3">
      <c r="A3" s="2" t="inlineStr">
        <is>
          <t>Summary KPIs</t>
        </is>
      </c>
    </row>
    <row r="4">
      <c r="A4" s="3" t="inlineStr">
        <is>
          <t>Total Paid (all time)</t>
        </is>
      </c>
      <c r="B4" s="4">
        <f>SUM(Loans!K5:K7)</f>
        <v/>
      </c>
    </row>
    <row r="5">
      <c r="A5" s="3" t="inlineStr">
        <is>
          <t>Total Interest Paid</t>
        </is>
      </c>
      <c r="B5" s="4">
        <f>SUM(Loans!M5:M7)</f>
        <v/>
      </c>
    </row>
    <row r="6">
      <c r="A6" s="3" t="inlineStr">
        <is>
          <t>Total Principal Paid</t>
        </is>
      </c>
      <c r="B6" s="4">
        <f>SUM(Loans!L5:L7)</f>
        <v/>
      </c>
    </row>
    <row r="7">
      <c r="A7" s="3" t="inlineStr">
        <is>
          <t>Pending / Overdue Count</t>
        </is>
      </c>
      <c r="B7" s="4">
        <f>COUNTIF(Loans!P5:P7,"Pending")+COUNTIF(Loans!P5:P7,"Overdue")</f>
        <v/>
      </c>
    </row>
    <row r="9">
      <c r="A9" s="2" t="inlineStr">
        <is>
          <t>Paid by Loan</t>
        </is>
      </c>
    </row>
    <row r="10">
      <c r="A10" s="6" t="inlineStr">
        <is>
          <t>Loan_Name</t>
        </is>
      </c>
      <c r="B10" s="6" t="inlineStr">
        <is>
          <t>Total_Paid</t>
        </is>
      </c>
    </row>
    <row r="11">
      <c r="A11" t="inlineStr">
        <is>
          <t>Home Loan</t>
        </is>
      </c>
      <c r="B11" s="7">
        <f>SUMIF(Loans!C5:C500,A11,Loans!K5:K500)</f>
        <v/>
      </c>
    </row>
    <row r="12">
      <c r="A12" t="inlineStr">
        <is>
          <t>Car Loan</t>
        </is>
      </c>
      <c r="B12" s="7">
        <f>SUMIF(Loans!C5:C500,A12,Loans!K5:K500)</f>
        <v/>
      </c>
    </row>
    <row r="13">
      <c r="A13" t="inlineStr">
        <is>
          <t>Personal Loan</t>
        </is>
      </c>
      <c r="B13" s="7">
        <f>SUMIF(Loans!C5:C500,A13,Loans!K5:K500)</f>
        <v/>
      </c>
    </row>
    <row r="14">
      <c r="A14" t="inlineStr">
        <is>
          <t>Education Loan</t>
        </is>
      </c>
      <c r="B14" s="7">
        <f>SUMIF(Loans!C5:C500,A14,Loans!K5:K500)</f>
        <v/>
      </c>
    </row>
    <row r="17">
      <c r="A17" s="2" t="inlineStr">
        <is>
          <t>Month</t>
        </is>
      </c>
      <c r="B17" t="inlineStr">
        <is>
          <t>Principal</t>
        </is>
      </c>
      <c r="C17" t="inlineStr">
        <is>
          <t>Interest</t>
        </is>
      </c>
    </row>
    <row r="18">
      <c r="A18" t="inlineStr">
        <is>
          <t>Jan-25</t>
        </is>
      </c>
      <c r="B18" s="7" t="n">
        <v>12000</v>
      </c>
      <c r="C18" s="7" t="n">
        <v>26500</v>
      </c>
    </row>
    <row r="19">
      <c r="A19" t="inlineStr">
        <is>
          <t>Feb-25</t>
        </is>
      </c>
      <c r="B19" s="7" t="n">
        <v>12100</v>
      </c>
      <c r="C19" s="7" t="n">
        <v>26400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</cols>
  <sheetData>
    <row r="1">
      <c r="A1" s="1" t="inlineStr">
        <is>
          <t>Loans — Transaction Log</t>
        </is>
      </c>
    </row>
    <row r="2">
      <c r="A2" s="8" t="inlineStr">
        <is>
          <t>Add one row per payment or due entry. Extend the table downward as needed.</t>
        </is>
      </c>
    </row>
    <row r="4">
      <c r="A4" s="6" t="inlineStr">
        <is>
          <t>Entry_ID</t>
        </is>
      </c>
      <c r="B4" s="6" t="inlineStr">
        <is>
          <t>Entry_Date</t>
        </is>
      </c>
      <c r="C4" s="6" t="inlineStr">
        <is>
          <t>Loan_Name</t>
        </is>
      </c>
      <c r="D4" s="6" t="inlineStr">
        <is>
          <t>Lender</t>
        </is>
      </c>
      <c r="E4" s="6" t="inlineStr">
        <is>
          <t>Loan_Type</t>
        </is>
      </c>
      <c r="F4" s="6" t="inlineStr">
        <is>
          <t>Principal</t>
        </is>
      </c>
      <c r="G4" s="6" t="inlineStr">
        <is>
          <t>Interest_Rate</t>
        </is>
      </c>
      <c r="H4" s="6" t="inlineStr">
        <is>
          <t>Tenure_Months</t>
        </is>
      </c>
      <c r="I4" s="6" t="inlineStr">
        <is>
          <t>EMI_Amount</t>
        </is>
      </c>
      <c r="J4" s="6" t="inlineStr">
        <is>
          <t>Payment_Date</t>
        </is>
      </c>
      <c r="K4" s="6" t="inlineStr">
        <is>
          <t>Amount_Paid</t>
        </is>
      </c>
      <c r="L4" s="6" t="inlineStr">
        <is>
          <t>Principal_Paid</t>
        </is>
      </c>
      <c r="M4" s="6" t="inlineStr">
        <is>
          <t>Interest_Paid</t>
        </is>
      </c>
      <c r="N4" s="6" t="inlineStr">
        <is>
          <t>Outstanding_Balance</t>
        </is>
      </c>
      <c r="O4" s="6" t="inlineStr">
        <is>
          <t>Payment_Method</t>
        </is>
      </c>
      <c r="P4" s="6" t="inlineStr">
        <is>
          <t>Status</t>
        </is>
      </c>
      <c r="Q4" s="6" t="inlineStr">
        <is>
          <t>Notes</t>
        </is>
      </c>
    </row>
    <row r="5">
      <c r="A5" s="9" t="n">
        <v>1</v>
      </c>
      <c r="B5" s="10" t="n">
        <v>45662</v>
      </c>
      <c r="C5" s="9" t="inlineStr">
        <is>
          <t>Home Loan</t>
        </is>
      </c>
      <c r="D5" s="9" t="inlineStr">
        <is>
          <t>HDFC</t>
        </is>
      </c>
      <c r="E5" s="9" t="inlineStr">
        <is>
          <t>Home Loan</t>
        </is>
      </c>
      <c r="F5" s="11" t="n">
        <v>4500000</v>
      </c>
      <c r="G5" s="12" t="n">
        <v>0.08500000000000001</v>
      </c>
      <c r="H5" s="9" t="n">
        <v>240</v>
      </c>
      <c r="I5" s="11" t="n">
        <v>38500</v>
      </c>
      <c r="J5" s="10" t="n">
        <v>45662</v>
      </c>
      <c r="K5" s="11" t="n">
        <v>38500</v>
      </c>
      <c r="L5" s="11" t="n">
        <v>12000</v>
      </c>
      <c r="M5" s="11" t="n">
        <v>26500</v>
      </c>
      <c r="N5" s="11" t="n">
        <v>4388000</v>
      </c>
      <c r="O5" s="9" t="inlineStr">
        <is>
          <t>Auto Debit</t>
        </is>
      </c>
      <c r="P5" s="9" t="inlineStr">
        <is>
          <t>Paid</t>
        </is>
      </c>
      <c r="Q5" s="9" t="inlineStr">
        <is>
          <t>January EMI</t>
        </is>
      </c>
    </row>
    <row r="6">
      <c r="A6" s="9" t="n">
        <v>2</v>
      </c>
      <c r="B6" s="10" t="n">
        <v>45693</v>
      </c>
      <c r="C6" s="9" t="inlineStr">
        <is>
          <t>Home Loan</t>
        </is>
      </c>
      <c r="D6" s="9" t="inlineStr">
        <is>
          <t>HDFC</t>
        </is>
      </c>
      <c r="E6" s="9" t="inlineStr">
        <is>
          <t>Home Loan</t>
        </is>
      </c>
      <c r="F6" s="11" t="n">
        <v>4500000</v>
      </c>
      <c r="G6" s="12" t="n">
        <v>0.08500000000000001</v>
      </c>
      <c r="H6" s="9" t="n">
        <v>240</v>
      </c>
      <c r="I6" s="11" t="n">
        <v>38500</v>
      </c>
      <c r="J6" s="10" t="n">
        <v>45693</v>
      </c>
      <c r="K6" s="11" t="n">
        <v>38500</v>
      </c>
      <c r="L6" s="11" t="n">
        <v>12100</v>
      </c>
      <c r="M6" s="11" t="n">
        <v>26400</v>
      </c>
      <c r="N6" s="11" t="n">
        <v>4375900</v>
      </c>
      <c r="O6" s="9" t="inlineStr">
        <is>
          <t>Auto Debit</t>
        </is>
      </c>
      <c r="P6" s="9" t="inlineStr">
        <is>
          <t>Paid</t>
        </is>
      </c>
      <c r="Q6" s="9" t="inlineStr">
        <is>
          <t>February EMI</t>
        </is>
      </c>
    </row>
    <row r="7">
      <c r="A7" s="9" t="n">
        <v>3</v>
      </c>
      <c r="B7" s="10" t="n">
        <v>45667</v>
      </c>
      <c r="C7" s="9" t="inlineStr">
        <is>
          <t>Car Loan</t>
        </is>
      </c>
      <c r="D7" s="9" t="inlineStr">
        <is>
          <t>SBI</t>
        </is>
      </c>
      <c r="E7" s="9" t="inlineStr">
        <is>
          <t>Car Loan</t>
        </is>
      </c>
      <c r="F7" s="11" t="n">
        <v>800000</v>
      </c>
      <c r="G7" s="12" t="n">
        <v>0.09</v>
      </c>
      <c r="H7" s="9" t="n">
        <v>60</v>
      </c>
      <c r="I7" s="11" t="n">
        <v>16600</v>
      </c>
      <c r="J7" s="10" t="n">
        <v>45667</v>
      </c>
      <c r="K7" s="11" t="n">
        <v>16600</v>
      </c>
      <c r="L7" s="11" t="n">
        <v>9800</v>
      </c>
      <c r="M7" s="11" t="n">
        <v>6800</v>
      </c>
      <c r="N7" s="11" t="n">
        <v>790200</v>
      </c>
      <c r="O7" s="9" t="inlineStr">
        <is>
          <t>Auto Debit</t>
        </is>
      </c>
      <c r="P7" s="9" t="inlineStr">
        <is>
          <t>Paid</t>
        </is>
      </c>
      <c r="Q7" s="9" t="inlineStr"/>
    </row>
  </sheetData>
  <dataValidations count="3">
    <dataValidation sqref="E5:E500" showDropDown="0" showInputMessage="0" showErrorMessage="0" allowBlank="1" errorTitle="Invalid entry" error="Please pick a value from the list." type="list">
      <formula1>=Setup!$D$6:$D$11</formula1>
    </dataValidation>
    <dataValidation sqref="O5:O500" showDropDown="0" showInputMessage="0" showErrorMessage="0" allowBlank="1" errorTitle="Invalid entry" error="Please pick a value from the list." type="list">
      <formula1>=Setup!$A$6:$A$11</formula1>
    </dataValidation>
    <dataValidation sqref="P5:P500" showDropDown="0" showInputMessage="0" showErrorMessage="0" allowBlank="1" errorTitle="Invalid entry" error="Please pick a value from the list." type="list">
      <formula1>=Setup!$P$6:$P$10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School Fees Dashboard</t>
        </is>
      </c>
    </row>
    <row r="3">
      <c r="A3" s="2" t="inlineStr">
        <is>
          <t>Summary KPIs</t>
        </is>
      </c>
    </row>
    <row r="4">
      <c r="A4" s="3" t="inlineStr">
        <is>
          <t>Total Fees Paid</t>
        </is>
      </c>
      <c r="B4" s="4">
        <f>SUM(School_Fees!K5:K7)</f>
        <v/>
      </c>
    </row>
    <row r="5">
      <c r="A5" s="3" t="inlineStr">
        <is>
          <t>Total Fees Due</t>
        </is>
      </c>
      <c r="B5" s="4">
        <f>SUM(School_Fees!H5:H7)</f>
        <v/>
      </c>
    </row>
    <row r="6">
      <c r="A6" s="3" t="inlineStr">
        <is>
          <t>Outstanding (Due - Paid)</t>
        </is>
      </c>
      <c r="B6" s="4">
        <f>SUM(School_Fees!H5:H7)-SUM(School_Fees!K5:K7)</f>
        <v/>
      </c>
    </row>
    <row r="7">
      <c r="A7" s="3" t="inlineStr">
        <is>
          <t>Pending Items</t>
        </is>
      </c>
      <c r="B7" s="4">
        <f>COUNTIF(School_Fees!M5:M7,"Pending")+COUNTIF(School_Fees!M5:M7,"Overdue")</f>
        <v/>
      </c>
    </row>
    <row r="10">
      <c r="A10" s="6" t="inlineStr">
        <is>
          <t>Child</t>
        </is>
      </c>
      <c r="B10" s="6" t="inlineStr">
        <is>
          <t>Paid</t>
        </is>
      </c>
    </row>
    <row r="11">
      <c r="A11" t="inlineStr">
        <is>
          <t>Aarav</t>
        </is>
      </c>
      <c r="B11" s="7">
        <f>SUMIF(School_Fees!C5:C500,A11,School_Fees!K5:K500)</f>
        <v/>
      </c>
    </row>
    <row r="12">
      <c r="A12" t="inlineStr">
        <is>
          <t>Isha</t>
        </is>
      </c>
      <c r="B12" s="7">
        <f>SUMIF(School_Fees!C5:C500,A12,School_Fees!K5:K500)</f>
        <v/>
      </c>
    </row>
    <row r="15">
      <c r="A15" s="6" t="inlineStr">
        <is>
          <t>Fee_Type</t>
        </is>
      </c>
      <c r="B15" s="6" t="inlineStr">
        <is>
          <t>Amount</t>
        </is>
      </c>
    </row>
    <row r="16">
      <c r="A16" t="inlineStr">
        <is>
          <t>Tuition</t>
        </is>
      </c>
      <c r="B16" s="7">
        <f>SUMIF(School_Fees!G5:G500,A16,School_Fees!K5:K500)</f>
        <v/>
      </c>
    </row>
    <row r="17">
      <c r="A17" t="inlineStr">
        <is>
          <t>Transport</t>
        </is>
      </c>
      <c r="B17" s="7">
        <f>SUMIF(School_Fees!G5:G500,A17,School_Fees!K5:K500)</f>
        <v/>
      </c>
    </row>
    <row r="18">
      <c r="A18" t="inlineStr">
        <is>
          <t>Books</t>
        </is>
      </c>
      <c r="B18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</cols>
  <sheetData>
    <row r="1">
      <c r="A1" s="1" t="inlineStr">
        <is>
          <t>School Fees — Transaction Log</t>
        </is>
      </c>
    </row>
    <row r="2">
      <c r="A2" s="8" t="inlineStr">
        <is>
          <t>Add one row per payment or due entry. Extend the table downward as needed.</t>
        </is>
      </c>
    </row>
    <row r="4">
      <c r="A4" s="6" t="inlineStr">
        <is>
          <t>Entry_ID</t>
        </is>
      </c>
      <c r="B4" s="6" t="inlineStr">
        <is>
          <t>Entry_Date</t>
        </is>
      </c>
      <c r="C4" s="6" t="inlineStr">
        <is>
          <t>Child_Name</t>
        </is>
      </c>
      <c r="D4" s="6" t="inlineStr">
        <is>
          <t>School</t>
        </is>
      </c>
      <c r="E4" s="6" t="inlineStr">
        <is>
          <t>Academic_Year</t>
        </is>
      </c>
      <c r="F4" s="6" t="inlineStr">
        <is>
          <t>Term</t>
        </is>
      </c>
      <c r="G4" s="6" t="inlineStr">
        <is>
          <t>Fee_Type</t>
        </is>
      </c>
      <c r="H4" s="6" t="inlineStr">
        <is>
          <t>Amount_Due</t>
        </is>
      </c>
      <c r="I4" s="6" t="inlineStr">
        <is>
          <t>Due_Date</t>
        </is>
      </c>
      <c r="J4" s="6" t="inlineStr">
        <is>
          <t>Payment_Date</t>
        </is>
      </c>
      <c r="K4" s="6" t="inlineStr">
        <is>
          <t>Amount_Paid</t>
        </is>
      </c>
      <c r="L4" s="6" t="inlineStr">
        <is>
          <t>Payment_Method</t>
        </is>
      </c>
      <c r="M4" s="6" t="inlineStr">
        <is>
          <t>Status</t>
        </is>
      </c>
      <c r="N4" s="6" t="inlineStr">
        <is>
          <t>Notes</t>
        </is>
      </c>
    </row>
    <row r="5">
      <c r="A5" s="9" t="n">
        <v>1</v>
      </c>
      <c r="B5" s="10" t="n">
        <v>45748</v>
      </c>
      <c r="C5" s="9" t="inlineStr">
        <is>
          <t>Aarav</t>
        </is>
      </c>
      <c r="D5" s="9" t="inlineStr">
        <is>
          <t>Delhi Public School</t>
        </is>
      </c>
      <c r="E5" s="9" t="inlineStr">
        <is>
          <t>2025-26</t>
        </is>
      </c>
      <c r="F5" s="9" t="inlineStr">
        <is>
          <t>Term 1</t>
        </is>
      </c>
      <c r="G5" s="9" t="inlineStr">
        <is>
          <t>Tuition</t>
        </is>
      </c>
      <c r="H5" s="11" t="n">
        <v>45000</v>
      </c>
      <c r="I5" s="10" t="n">
        <v>45762</v>
      </c>
      <c r="J5" s="10" t="n">
        <v>45759</v>
      </c>
      <c r="K5" s="11" t="n">
        <v>45000</v>
      </c>
      <c r="L5" s="9" t="inlineStr">
        <is>
          <t>Bank Transfer</t>
        </is>
      </c>
      <c r="M5" s="9" t="inlineStr">
        <is>
          <t>Paid</t>
        </is>
      </c>
      <c r="N5" s="9" t="inlineStr"/>
    </row>
    <row r="6">
      <c r="A6" s="9" t="n">
        <v>2</v>
      </c>
      <c r="B6" s="10" t="n">
        <v>45748</v>
      </c>
      <c r="C6" s="9" t="inlineStr">
        <is>
          <t>Aarav</t>
        </is>
      </c>
      <c r="D6" s="9" t="inlineStr">
        <is>
          <t>Delhi Public School</t>
        </is>
      </c>
      <c r="E6" s="9" t="inlineStr">
        <is>
          <t>2025-26</t>
        </is>
      </c>
      <c r="F6" s="9" t="inlineStr">
        <is>
          <t>Term 1</t>
        </is>
      </c>
      <c r="G6" s="9" t="inlineStr">
        <is>
          <t>Transport</t>
        </is>
      </c>
      <c r="H6" s="11" t="n">
        <v>12000</v>
      </c>
      <c r="I6" s="10" t="n">
        <v>45762</v>
      </c>
      <c r="J6" s="10" t="n">
        <v>45759</v>
      </c>
      <c r="K6" s="11" t="n">
        <v>12000</v>
      </c>
      <c r="L6" s="9" t="inlineStr">
        <is>
          <t>Bank Transfer</t>
        </is>
      </c>
      <c r="M6" s="9" t="inlineStr">
        <is>
          <t>Paid</t>
        </is>
      </c>
      <c r="N6" s="9" t="inlineStr"/>
    </row>
    <row r="7">
      <c r="A7" s="9" t="n">
        <v>3</v>
      </c>
      <c r="B7" s="10" t="n">
        <v>45748</v>
      </c>
      <c r="C7" s="9" t="inlineStr">
        <is>
          <t>Isha</t>
        </is>
      </c>
      <c r="D7" s="9" t="inlineStr">
        <is>
          <t>Ryan International</t>
        </is>
      </c>
      <c r="E7" s="9" t="inlineStr">
        <is>
          <t>2025-26</t>
        </is>
      </c>
      <c r="F7" s="9" t="inlineStr">
        <is>
          <t>Term 1</t>
        </is>
      </c>
      <c r="G7" s="9" t="inlineStr">
        <is>
          <t>Tuition</t>
        </is>
      </c>
      <c r="H7" s="11" t="n">
        <v>38000</v>
      </c>
      <c r="I7" s="10" t="n">
        <v>45767</v>
      </c>
      <c r="J7" s="9" t="n"/>
      <c r="K7" s="11" t="n">
        <v>0</v>
      </c>
      <c r="L7" s="9" t="inlineStr"/>
      <c r="M7" s="9" t="inlineStr">
        <is>
          <t>Pending</t>
        </is>
      </c>
      <c r="N7" s="9" t="inlineStr">
        <is>
          <t>Due soon</t>
        </is>
      </c>
    </row>
  </sheetData>
  <dataValidations count="3">
    <dataValidation sqref="G5:G500" showDropDown="0" showInputMessage="0" showErrorMessage="0" allowBlank="1" errorTitle="Invalid entry" error="Please pick a value from the list." type="list">
      <formula1>=Setup!$G$6:$G$12</formula1>
    </dataValidation>
    <dataValidation sqref="L5:L500" showDropDown="0" showInputMessage="0" showErrorMessage="0" allowBlank="1" errorTitle="Invalid entry" error="Please pick a value from the list." type="list">
      <formula1>=Setup!$A$6:$A$11</formula1>
    </dataValidation>
    <dataValidation sqref="M5:M500" showDropDown="0" showInputMessage="0" showErrorMessage="0" allowBlank="1" errorTitle="Invalid entry" error="Please pick a value from the list." type="list">
      <formula1>=Setup!$P$6:$P$10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EMIs Dashboard</t>
        </is>
      </c>
    </row>
    <row r="3">
      <c r="A3" s="2" t="inlineStr">
        <is>
          <t>Summary KPIs</t>
        </is>
      </c>
    </row>
    <row r="4">
      <c r="A4" s="3" t="inlineStr">
        <is>
          <t>Active EMIs</t>
        </is>
      </c>
      <c r="B4" s="4">
        <f>COUNTIF(EMIs!O5:O7,"Pending")+COUNTIF(EMIs!O5:O7,"Paid")</f>
        <v/>
      </c>
    </row>
    <row r="5">
      <c r="A5" s="3" t="inlineStr">
        <is>
          <t>Monthly EMI Outflow (active)</t>
        </is>
      </c>
      <c r="B5" s="4">
        <f>SUMIF(EMIs!O5:O500,"Pending",EMIs!G5:G500)</f>
        <v/>
      </c>
    </row>
    <row r="6">
      <c r="A6" s="3" t="inlineStr">
        <is>
          <t>Total Paid</t>
        </is>
      </c>
      <c r="B6" s="4">
        <f>SUM(EMIs!M5:M7)</f>
        <v/>
      </c>
    </row>
    <row r="7">
      <c r="A7" s="3" t="inlineStr">
        <is>
          <t>Completed EMIs</t>
        </is>
      </c>
      <c r="B7" s="4">
        <f>COUNTIF(EMIs!O5:O7,"Paid")</f>
        <v/>
      </c>
    </row>
    <row r="10">
      <c r="A10" s="6" t="inlineStr">
        <is>
          <t>Category</t>
        </is>
      </c>
      <c r="B10" s="6" t="inlineStr">
        <is>
          <t>EMI_Amount</t>
        </is>
      </c>
    </row>
    <row r="11">
      <c r="A11" t="inlineStr">
        <is>
          <t>Appliance</t>
        </is>
      </c>
      <c r="B11" s="7">
        <f>SUMIF(EMIs!D5:D500,A11,EMIs!G5:G500)</f>
        <v/>
      </c>
    </row>
    <row r="12">
      <c r="A12" t="inlineStr">
        <is>
          <t>Electronics</t>
        </is>
      </c>
      <c r="B12" s="7">
        <f>SUMIF(EMIs!D5:D500,A12,EMIs!G5:G500)</f>
        <v/>
      </c>
    </row>
    <row r="13">
      <c r="A13" t="inlineStr">
        <is>
          <t>Furniture</t>
        </is>
      </c>
      <c r="B13" s="7">
        <f>SUMIF(EMIs!D5:D500,A13,EMIs!G5:G500)</f>
        <v/>
      </c>
    </row>
    <row r="16">
      <c r="A16" s="6" t="inlineStr">
        <is>
          <t>Month</t>
        </is>
      </c>
      <c r="B16" s="6" t="inlineStr">
        <is>
          <t>Paid</t>
        </is>
      </c>
    </row>
    <row r="17">
      <c r="A17" t="inlineStr">
        <is>
          <t>Jan</t>
        </is>
      </c>
      <c r="B17" s="7" t="n">
        <v>4000</v>
      </c>
    </row>
    <row r="18">
      <c r="A18" t="inlineStr">
        <is>
          <t>Feb</t>
        </is>
      </c>
      <c r="B18" s="7" t="n">
        <v>4000</v>
      </c>
    </row>
    <row r="19">
      <c r="A19" t="inlineStr">
        <is>
          <t>Mar</t>
        </is>
      </c>
      <c r="B19" s="7" t="n">
        <v>4000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</cols>
  <sheetData>
    <row r="1">
      <c r="A1" s="1" t="inlineStr">
        <is>
          <t>EMIs — Transaction Log</t>
        </is>
      </c>
    </row>
    <row r="2">
      <c r="A2" s="8" t="inlineStr">
        <is>
          <t>Add one row per payment or due entry. Extend the table downward as needed.</t>
        </is>
      </c>
    </row>
    <row r="4">
      <c r="A4" s="6" t="inlineStr">
        <is>
          <t>Entry_ID</t>
        </is>
      </c>
      <c r="B4" s="6" t="inlineStr">
        <is>
          <t>Entry_Date</t>
        </is>
      </c>
      <c r="C4" s="6" t="inlineStr">
        <is>
          <t>Item_Name</t>
        </is>
      </c>
      <c r="D4" s="6" t="inlineStr">
        <is>
          <t>Category</t>
        </is>
      </c>
      <c r="E4" s="6" t="inlineStr">
        <is>
          <t>Vendor_Lender</t>
        </is>
      </c>
      <c r="F4" s="6" t="inlineStr">
        <is>
          <t>Total_Price</t>
        </is>
      </c>
      <c r="G4" s="6" t="inlineStr">
        <is>
          <t>EMI_Amount</t>
        </is>
      </c>
      <c r="H4" s="6" t="inlineStr">
        <is>
          <t>Tenure_Months</t>
        </is>
      </c>
      <c r="I4" s="6" t="inlineStr">
        <is>
          <t>EMIs_Paid</t>
        </is>
      </c>
      <c r="J4" s="6" t="inlineStr">
        <is>
          <t>EMIs_Remaining</t>
        </is>
      </c>
      <c r="K4" s="6" t="inlineStr">
        <is>
          <t>Next_Due_Date</t>
        </is>
      </c>
      <c r="L4" s="6" t="inlineStr">
        <is>
          <t>Payment_Date</t>
        </is>
      </c>
      <c r="M4" s="6" t="inlineStr">
        <is>
          <t>Amount_Paid</t>
        </is>
      </c>
      <c r="N4" s="6" t="inlineStr">
        <is>
          <t>Payment_Method</t>
        </is>
      </c>
      <c r="O4" s="6" t="inlineStr">
        <is>
          <t>Status</t>
        </is>
      </c>
      <c r="P4" s="6" t="inlineStr">
        <is>
          <t>Notes</t>
        </is>
      </c>
    </row>
    <row r="5">
      <c r="A5" s="9" t="n">
        <v>1</v>
      </c>
      <c r="B5" s="10" t="n">
        <v>45444</v>
      </c>
      <c r="C5" s="9" t="inlineStr">
        <is>
          <t>LG Refrigerator</t>
        </is>
      </c>
      <c r="D5" s="9" t="inlineStr">
        <is>
          <t>Appliance</t>
        </is>
      </c>
      <c r="E5" s="9" t="inlineStr">
        <is>
          <t>Bajaj Finserv</t>
        </is>
      </c>
      <c r="F5" s="11" t="n">
        <v>48000</v>
      </c>
      <c r="G5" s="11" t="n">
        <v>4000</v>
      </c>
      <c r="H5" s="9" t="n">
        <v>12</v>
      </c>
      <c r="I5" s="9" t="n">
        <v>8</v>
      </c>
      <c r="J5" s="9" t="n">
        <v>4</v>
      </c>
      <c r="K5" s="10" t="n">
        <v>45717</v>
      </c>
      <c r="L5" s="10" t="n">
        <v>45717</v>
      </c>
      <c r="M5" s="11" t="n">
        <v>4000</v>
      </c>
      <c r="N5" s="9" t="inlineStr">
        <is>
          <t>Auto Debit</t>
        </is>
      </c>
      <c r="O5" s="9" t="inlineStr">
        <is>
          <t>Paid</t>
        </is>
      </c>
      <c r="P5" s="9" t="inlineStr"/>
    </row>
    <row r="6">
      <c r="A6" s="9" t="n">
        <v>2</v>
      </c>
      <c r="B6" s="10" t="n">
        <v>45292</v>
      </c>
      <c r="C6" s="9" t="inlineStr">
        <is>
          <t>iPhone 15</t>
        </is>
      </c>
      <c r="D6" s="9" t="inlineStr">
        <is>
          <t>Electronics</t>
        </is>
      </c>
      <c r="E6" s="9" t="inlineStr">
        <is>
          <t>HDFC Card EMI</t>
        </is>
      </c>
      <c r="F6" s="11" t="n">
        <v>90000</v>
      </c>
      <c r="G6" s="11" t="n">
        <v>7500</v>
      </c>
      <c r="H6" s="9" t="n">
        <v>12</v>
      </c>
      <c r="I6" s="9" t="n">
        <v>12</v>
      </c>
      <c r="J6" s="9" t="n">
        <v>0</v>
      </c>
      <c r="K6" s="9" t="n"/>
      <c r="L6" s="10" t="n">
        <v>45627</v>
      </c>
      <c r="M6" s="11" t="n">
        <v>7500</v>
      </c>
      <c r="N6" s="9" t="inlineStr">
        <is>
          <t>Credit Card</t>
        </is>
      </c>
      <c r="O6" s="9" t="inlineStr">
        <is>
          <t>Paid</t>
        </is>
      </c>
      <c r="P6" s="9" t="inlineStr">
        <is>
          <t>Completed</t>
        </is>
      </c>
    </row>
    <row r="7">
      <c r="A7" s="9" t="n">
        <v>3</v>
      </c>
      <c r="B7" s="10" t="n">
        <v>45536</v>
      </c>
      <c r="C7" s="9" t="inlineStr">
        <is>
          <t>Sofa Set</t>
        </is>
      </c>
      <c r="D7" s="9" t="inlineStr">
        <is>
          <t>Furniture</t>
        </is>
      </c>
      <c r="E7" s="9" t="inlineStr">
        <is>
          <t>Home Credit</t>
        </is>
      </c>
      <c r="F7" s="11" t="n">
        <v>36000</v>
      </c>
      <c r="G7" s="11" t="n">
        <v>3000</v>
      </c>
      <c r="H7" s="9" t="n">
        <v>12</v>
      </c>
      <c r="I7" s="9" t="n">
        <v>6</v>
      </c>
      <c r="J7" s="9" t="n">
        <v>6</v>
      </c>
      <c r="K7" s="10" t="n">
        <v>45748</v>
      </c>
      <c r="L7" s="9" t="n"/>
      <c r="M7" s="11" t="n">
        <v>0</v>
      </c>
      <c r="N7" s="9" t="inlineStr"/>
      <c r="O7" s="9" t="inlineStr">
        <is>
          <t>Pending</t>
        </is>
      </c>
      <c r="P7" s="9" t="inlineStr"/>
    </row>
  </sheetData>
  <dataValidations count="3">
    <dataValidation sqref="D5:D500" showDropDown="0" showInputMessage="0" showErrorMessage="0" allowBlank="1" errorTitle="Invalid entry" error="Please pick a value from the list." type="list">
      <formula1>=Setup!$J$6:$J$12</formula1>
    </dataValidation>
    <dataValidation sqref="N5:N500" showDropDown="0" showInputMessage="0" showErrorMessage="0" allowBlank="1" errorTitle="Invalid entry" error="Please pick a value from the list." type="list">
      <formula1>=Setup!$A$6:$A$11</formula1>
    </dataValidation>
    <dataValidation sqref="O5:O500" showDropDown="0" showInputMessage="0" showErrorMessage="0" allowBlank="1" errorTitle="Invalid entry" error="Please pick a value from the list." type="list">
      <formula1>=Setup!$P$6:$P$10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Other Expenses Dashboard</t>
        </is>
      </c>
    </row>
    <row r="3">
      <c r="A3" s="2" t="inlineStr">
        <is>
          <t>Summary KPIs</t>
        </is>
      </c>
    </row>
    <row r="4">
      <c r="A4" s="3" t="inlineStr">
        <is>
          <t>Total Spent</t>
        </is>
      </c>
      <c r="B4" s="4">
        <f>SUM(Other_Expenses!F5:F7)</f>
        <v/>
      </c>
    </row>
    <row r="5">
      <c r="A5" s="3" t="inlineStr">
        <is>
          <t>Recurring Expenses / month (est.)</t>
        </is>
      </c>
      <c r="B5" s="4">
        <f>SUMIFS(Other_Expenses!F5:F500,Other_Expenses!H5:H500,"Yes")</f>
        <v/>
      </c>
    </row>
    <row r="6">
      <c r="A6" s="3" t="inlineStr">
        <is>
          <t>Transactions Count</t>
        </is>
      </c>
      <c r="B6" s="4">
        <f>COUNTA(Other_Expenses!A5:A7)</f>
        <v/>
      </c>
    </row>
    <row r="9">
      <c r="A9" s="6" t="inlineStr">
        <is>
          <t>Category</t>
        </is>
      </c>
      <c r="B9" s="6" t="inlineStr">
        <is>
          <t>Spend</t>
        </is>
      </c>
    </row>
    <row r="10">
      <c r="A10" t="inlineStr">
        <is>
          <t>Groceries</t>
        </is>
      </c>
      <c r="B10" s="7">
        <f>SUMIF(Other_Expenses!C5:C500,A10,Other_Expenses!F5:F500)</f>
        <v/>
      </c>
    </row>
    <row r="11">
      <c r="A11" t="inlineStr">
        <is>
          <t>Utilities</t>
        </is>
      </c>
      <c r="B11" s="7">
        <f>SUMIF(Other_Expenses!C5:C500,A11,Other_Expenses!F5:F500)</f>
        <v/>
      </c>
    </row>
    <row r="12">
      <c r="A12" t="inlineStr">
        <is>
          <t>Healthcare</t>
        </is>
      </c>
      <c r="B12" s="7">
        <f>SUMIF(Other_Expenses!C5:C500,A12,Other_Expenses!F5:F500)</f>
        <v/>
      </c>
    </row>
    <row r="13">
      <c r="A13" t="inlineStr">
        <is>
          <t>Travel</t>
        </is>
      </c>
      <c r="B13" s="7">
        <f>SUMIF(Other_Expenses!C5:C500,A13,Other_Expenses!F5:F500)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>
      <c r="A1" s="1" t="inlineStr">
        <is>
          <t>Other Expenses — Transaction Log</t>
        </is>
      </c>
    </row>
    <row r="2">
      <c r="A2" s="8" t="inlineStr">
        <is>
          <t>Add one row per payment or due entry. Extend the table downward as needed.</t>
        </is>
      </c>
    </row>
    <row r="4">
      <c r="A4" s="6" t="inlineStr">
        <is>
          <t>Entry_ID</t>
        </is>
      </c>
      <c r="B4" s="6" t="inlineStr">
        <is>
          <t>Entry_Date</t>
        </is>
      </c>
      <c r="C4" s="6" t="inlineStr">
        <is>
          <t>Category</t>
        </is>
      </c>
      <c r="D4" s="6" t="inlineStr">
        <is>
          <t>Subcategory</t>
        </is>
      </c>
      <c r="E4" s="6" t="inlineStr">
        <is>
          <t>Description</t>
        </is>
      </c>
      <c r="F4" s="6" t="inlineStr">
        <is>
          <t>Amount</t>
        </is>
      </c>
      <c r="G4" s="6" t="inlineStr">
        <is>
          <t>Payment_Method</t>
        </is>
      </c>
      <c r="H4" s="6" t="inlineStr">
        <is>
          <t>Recurring</t>
        </is>
      </c>
      <c r="I4" s="6" t="inlineStr">
        <is>
          <t>Frequency</t>
        </is>
      </c>
      <c r="J4" s="6" t="inlineStr">
        <is>
          <t>Status</t>
        </is>
      </c>
      <c r="K4" s="6" t="inlineStr">
        <is>
          <t>Notes</t>
        </is>
      </c>
    </row>
    <row r="5">
      <c r="A5" s="9" t="n">
        <v>1</v>
      </c>
      <c r="B5" s="10" t="n">
        <v>45660</v>
      </c>
      <c r="C5" s="9" t="inlineStr">
        <is>
          <t>Utilities</t>
        </is>
      </c>
      <c r="D5" s="9" t="inlineStr">
        <is>
          <t>Electricity</t>
        </is>
      </c>
      <c r="E5" s="9" t="inlineStr">
        <is>
          <t>BESCOM Jan</t>
        </is>
      </c>
      <c r="F5" s="11" t="n">
        <v>2800</v>
      </c>
      <c r="G5" s="9" t="inlineStr">
        <is>
          <t>UPI</t>
        </is>
      </c>
      <c r="H5" s="9" t="inlineStr">
        <is>
          <t>Yes</t>
        </is>
      </c>
      <c r="I5" s="9" t="inlineStr">
        <is>
          <t>Monthly</t>
        </is>
      </c>
      <c r="J5" s="9" t="inlineStr">
        <is>
          <t>Paid</t>
        </is>
      </c>
      <c r="K5" s="9" t="inlineStr"/>
    </row>
    <row r="6">
      <c r="A6" s="9" t="n">
        <v>2</v>
      </c>
      <c r="B6" s="10" t="n">
        <v>45665</v>
      </c>
      <c r="C6" s="9" t="inlineStr">
        <is>
          <t>Healthcare</t>
        </is>
      </c>
      <c r="D6" s="9" t="inlineStr">
        <is>
          <t>Doctor</t>
        </is>
      </c>
      <c r="E6" s="9" t="inlineStr">
        <is>
          <t>Annual checkup</t>
        </is>
      </c>
      <c r="F6" s="11" t="n">
        <v>1500</v>
      </c>
      <c r="G6" s="9" t="inlineStr">
        <is>
          <t>Cash</t>
        </is>
      </c>
      <c r="H6" s="9" t="inlineStr">
        <is>
          <t>No</t>
        </is>
      </c>
      <c r="I6" s="9" t="inlineStr"/>
      <c r="J6" s="9" t="inlineStr">
        <is>
          <t>Paid</t>
        </is>
      </c>
      <c r="K6" s="9" t="inlineStr"/>
    </row>
    <row r="7">
      <c r="A7" s="9" t="n">
        <v>3</v>
      </c>
      <c r="B7" s="10" t="n">
        <v>45689</v>
      </c>
      <c r="C7" s="9" t="inlineStr">
        <is>
          <t>Groceries</t>
        </is>
      </c>
      <c r="D7" s="9" t="inlineStr">
        <is>
          <t>Supermarket</t>
        </is>
      </c>
      <c r="E7" s="9" t="inlineStr">
        <is>
          <t>Monthly stock</t>
        </is>
      </c>
      <c r="F7" s="11" t="n">
        <v>6200</v>
      </c>
      <c r="G7" s="9" t="inlineStr">
        <is>
          <t>UPI</t>
        </is>
      </c>
      <c r="H7" s="9" t="inlineStr">
        <is>
          <t>Yes</t>
        </is>
      </c>
      <c r="I7" s="9" t="inlineStr">
        <is>
          <t>Monthly</t>
        </is>
      </c>
      <c r="J7" s="9" t="inlineStr">
        <is>
          <t>Paid</t>
        </is>
      </c>
      <c r="K7" s="9" t="inlineStr"/>
    </row>
  </sheetData>
  <dataValidations count="4">
    <dataValidation sqref="C5:C500" showDropDown="0" showInputMessage="0" showErrorMessage="0" allowBlank="1" errorTitle="Invalid entry" error="Please pick a value from the list." type="list">
      <formula1>=Setup!$M$6:$M$12</formula1>
    </dataValidation>
    <dataValidation sqref="G5:G500" showDropDown="0" showInputMessage="0" showErrorMessage="0" allowBlank="1" errorTitle="Invalid entry" error="Please pick a value from the list." type="list">
      <formula1>=Setup!$A$6:$A$11</formula1>
    </dataValidation>
    <dataValidation sqref="H5:H500" showDropDown="0" showInputMessage="0" showErrorMessage="0" allowBlank="1" errorTitle="Invalid entry" error="Please pick a value from the list." type="list">
      <formula1>="Yes,No"</formula1>
    </dataValidation>
    <dataValidation sqref="J5:J500" showDropDown="0" showInputMessage="0" showErrorMessage="0" allowBlank="1" errorTitle="Invalid entry" error="Please pick a value from the list." type="list">
      <formula1>=Setup!$P$6:$P$10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4" max="4"/>
    <col width="14" customWidth="1" min="7" max="7"/>
    <col width="16" customWidth="1" min="10" max="10"/>
    <col width="18" customWidth="1" min="13" max="13"/>
    <col width="12" customWidth="1" min="16" max="16"/>
  </cols>
  <sheetData>
    <row r="1">
      <c r="A1" s="1" t="inlineStr">
        <is>
          <t>Personal Finance Tracker — Setup &amp; Lists</t>
        </is>
      </c>
    </row>
    <row r="3">
      <c r="A3" s="8" t="inlineStr">
        <is>
          <t>Use this sheet for dropdown values. Do not delete list headers.</t>
        </is>
      </c>
    </row>
    <row r="5">
      <c r="A5" s="13" t="inlineStr">
        <is>
          <t>Payment_Methods</t>
        </is>
      </c>
      <c r="D5" s="13" t="inlineStr">
        <is>
          <t>Loan_Types</t>
        </is>
      </c>
      <c r="G5" s="13" t="inlineStr">
        <is>
          <t>Fee_Types</t>
        </is>
      </c>
      <c r="J5" s="13" t="inlineStr">
        <is>
          <t>EMI_Categories</t>
        </is>
      </c>
      <c r="M5" s="13" t="inlineStr">
        <is>
          <t>Expense_Categories</t>
        </is>
      </c>
      <c r="P5" s="13" t="inlineStr">
        <is>
          <t>Status_Values</t>
        </is>
      </c>
    </row>
    <row r="6">
      <c r="A6" t="inlineStr">
        <is>
          <t>Cash</t>
        </is>
      </c>
      <c r="D6" t="inlineStr">
        <is>
          <t>Home Loan</t>
        </is>
      </c>
      <c r="G6" t="inlineStr">
        <is>
          <t>Tuition</t>
        </is>
      </c>
      <c r="J6" t="inlineStr">
        <is>
          <t>Appliance</t>
        </is>
      </c>
      <c r="M6" t="inlineStr">
        <is>
          <t>Groceries</t>
        </is>
      </c>
      <c r="P6" t="inlineStr">
        <is>
          <t>Paid</t>
        </is>
      </c>
    </row>
    <row r="7">
      <c r="A7" t="inlineStr">
        <is>
          <t>UPI</t>
        </is>
      </c>
      <c r="D7" t="inlineStr">
        <is>
          <t>Personal Loan</t>
        </is>
      </c>
      <c r="G7" t="inlineStr">
        <is>
          <t>Transport</t>
        </is>
      </c>
      <c r="J7" t="inlineStr">
        <is>
          <t>Electronics</t>
        </is>
      </c>
      <c r="M7" t="inlineStr">
        <is>
          <t>Utilities</t>
        </is>
      </c>
      <c r="P7" t="inlineStr">
        <is>
          <t>Pending</t>
        </is>
      </c>
    </row>
    <row r="8">
      <c r="A8" t="inlineStr">
        <is>
          <t>Bank Transfer</t>
        </is>
      </c>
      <c r="D8" t="inlineStr">
        <is>
          <t>Car Loan</t>
        </is>
      </c>
      <c r="G8" t="inlineStr">
        <is>
          <t>Books</t>
        </is>
      </c>
      <c r="J8" t="inlineStr">
        <is>
          <t>Furniture</t>
        </is>
      </c>
      <c r="M8" t="inlineStr">
        <is>
          <t>Healthcare</t>
        </is>
      </c>
      <c r="P8" t="inlineStr">
        <is>
          <t>Overdue</t>
        </is>
      </c>
    </row>
    <row r="9">
      <c r="A9" t="inlineStr">
        <is>
          <t>Credit Card</t>
        </is>
      </c>
      <c r="D9" t="inlineStr">
        <is>
          <t>Education Loan</t>
        </is>
      </c>
      <c r="G9" t="inlineStr">
        <is>
          <t>Uniform</t>
        </is>
      </c>
      <c r="J9" t="inlineStr">
        <is>
          <t>Vehicle</t>
        </is>
      </c>
      <c r="M9" t="inlineStr">
        <is>
          <t>Travel</t>
        </is>
      </c>
      <c r="P9" t="inlineStr">
        <is>
          <t>Partial</t>
        </is>
      </c>
    </row>
    <row r="10">
      <c r="A10" t="inlineStr">
        <is>
          <t>Debit Card</t>
        </is>
      </c>
      <c r="D10" t="inlineStr">
        <is>
          <t>Gold Loan</t>
        </is>
      </c>
      <c r="G10" t="inlineStr">
        <is>
          <t>Activity</t>
        </is>
      </c>
      <c r="J10" t="inlineStr">
        <is>
          <t>Insurance</t>
        </is>
      </c>
      <c r="M10" t="inlineStr">
        <is>
          <t>Entertainment</t>
        </is>
      </c>
      <c r="P10" t="inlineStr">
        <is>
          <t>Skipped</t>
        </is>
      </c>
    </row>
    <row r="11">
      <c r="A11" t="inlineStr">
        <is>
          <t>Auto Debit</t>
        </is>
      </c>
      <c r="D11" t="inlineStr">
        <is>
          <t>Other</t>
        </is>
      </c>
      <c r="G11" t="inlineStr">
        <is>
          <t>Exam</t>
        </is>
      </c>
      <c r="J11" t="inlineStr">
        <is>
          <t>Subscription</t>
        </is>
      </c>
      <c r="M11" t="inlineStr">
        <is>
          <t>Maintenance</t>
        </is>
      </c>
    </row>
    <row r="12">
      <c r="G12" t="inlineStr">
        <is>
          <t>Other</t>
        </is>
      </c>
      <c r="J12" t="inlineStr">
        <is>
          <t>Other</t>
        </is>
      </c>
      <c r="M12" t="inlineStr">
        <is>
          <t>Other</t>
        </is>
      </c>
    </row>
    <row r="14">
      <c r="A14" s="2" t="inlineStr">
        <is>
          <t>Recommended workflow</t>
        </is>
      </c>
    </row>
    <row r="15">
      <c r="A15" t="inlineStr">
        <is>
          <t>1. Enter transactions only in the data sheets (Loans, School_Fees, EMIs, Other_Expenses).</t>
        </is>
      </c>
    </row>
    <row r="16">
      <c r="A16" t="inlineStr">
        <is>
          <t>2. Use one row per payment or due entry — avoid mixing summary and detail on the same row.</t>
        </is>
      </c>
    </row>
    <row r="17">
      <c r="A17" t="inlineStr">
        <is>
          <t>3. Open each *_Dashboard sheet for charts; they refresh when you add rows to the matching data table.</t>
        </is>
      </c>
    </row>
    <row r="18">
      <c r="A18" t="inlineStr">
        <is>
          <t>4. Keep dates in a single column (Entry_Date) and amounts in numeric columns only.</t>
        </is>
      </c>
    </row>
    <row r="19">
      <c r="A19" t="inlineStr">
        <is>
          <t>5. Use Status + Due_Date to track pending items across all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2026-09-18T12:35:29Z</dcterms:created>
  <dcterms:modified xsi:type="dcterms:W3CDTF">2026-09-18T12:35:29Z</dcterms:modified>
</cp:coreProperties>
</file>