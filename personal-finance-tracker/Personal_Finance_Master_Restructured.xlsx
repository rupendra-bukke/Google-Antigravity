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hool_Fees_Dashboard" sheetId="2" state="visible" r:id="rId2"/>
    <sheet name="School_Fees" sheetId="3" state="visible" r:id="rId3"/>
    <sheet name="EMI_Dashboard" sheetId="4" state="visible" r:id="rId4"/>
    <sheet name="EMI" sheetId="5" state="visible" r:id="rId5"/>
    <sheet name="Chits_Dashboard" sheetId="6" state="visible" r:id="rId6"/>
    <sheet name="Chits" sheetId="7" state="visible" r:id="rId7"/>
    <sheet name="Chit_Payments" sheetId="8" state="visible" r:id="rId8"/>
    <sheet name="Transactions_Dashboard" sheetId="9" state="visible" r:id="rId9"/>
    <sheet name="Transactions" sheetId="10" state="visible" r:id="rId10"/>
    <sheet name="Monthly_Summary" sheetId="11" state="visible" r:id="rId11"/>
    <sheet name="Debt_Dashboard" sheetId="12" state="visible" r:id="rId12"/>
    <sheet name="Debt_Settlements" sheetId="13" state="visible" r:id="rId13"/>
    <sheet name="Phupa_Dashboard" sheetId="14" state="visible" r:id="rId14"/>
    <sheet name="Phupa" sheetId="15" state="visible" r:id="rId15"/>
    <sheet name="Loans_Dashboard" sheetId="16" state="visible" r:id="rId16"/>
    <sheet name="Loans" sheetId="17" state="visible" r:id="rId17"/>
    <sheet name="Setup" sheetId="18" state="visible" r:id="rId18"/>
    <sheet name="How_to_Use" sheetId="19" state="visible" r:id="rId19"/>
  </sheets>
  <definedNames>
    <definedName name="_xlnm._FilterDatabase" localSheetId="2" hidden="1">'School_Fees'!$A$4:$K$12</definedName>
    <definedName name="_xlnm._FilterDatabase" localSheetId="4" hidden="1">'EMI'!$A$4:$K$11</definedName>
    <definedName name="_xlnm._FilterDatabase" localSheetId="6" hidden="1">'Chits'!$A$4:$N$6</definedName>
    <definedName name="_xlnm._FilterDatabase" localSheetId="7" hidden="1">'Chit_Payments'!$A$4:$L$36</definedName>
    <definedName name="_xlnm._FilterDatabase" localSheetId="9" hidden="1">'Transactions'!$A$4:$J$42</definedName>
    <definedName name="_xlnm._FilterDatabase" localSheetId="12" hidden="1">'Debt_Settlements'!$A$4:$M$7</definedName>
    <definedName name="_xlnm._FilterDatabase" localSheetId="14" hidden="1">'Phupa'!$A$4:$G$9</definedName>
    <definedName name="_xlnm._FilterDatabase" localSheetId="16" hidden="1">'Loans'!$A$4:$O$5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&quot;₹&quot;#,##,##0"/>
    <numFmt numFmtId="166" formatCode="0.0%"/>
    <numFmt numFmtId="167" formatCode="yyyy-mm-dd"/>
    <numFmt numFmtId="168" formatCode="MMM-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1" pivotButton="0" quotePrefix="0" xfId="0"/>
    <xf numFmtId="165" fontId="6" fillId="4" borderId="1" pivotButton="0" quotePrefix="0" xfId="0"/>
    <xf numFmtId="165" fontId="6" fillId="5" borderId="1" pivotButton="0" quotePrefix="0" xfId="0"/>
    <xf numFmtId="165" fontId="6" fillId="6" borderId="1" pivotButton="0" quotePrefix="0" xfId="0"/>
    <xf numFmtId="0" fontId="4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  <xf numFmtId="166" fontId="6" fillId="6" borderId="1" pivotButton="0" quotePrefix="0" xfId="0"/>
    <xf numFmtId="1" fontId="6" fillId="5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" fontId="6" fillId="6" borderId="1" pivotButton="0" quotePrefix="0" xfId="0"/>
    <xf numFmtId="168" fontId="0" fillId="0" borderId="0" pivotButton="0" quotePrefix="0" xfId="0"/>
    <xf numFmtId="166" fontId="0" fillId="0" borderId="1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commitment mix</a:t>
            </a:r>
          </a:p>
        </rich>
      </tx>
    </title>
    <plotArea>
      <pieChart>
        <varyColors val="1"/>
        <ser>
          <idx val="0"/>
          <order val="0"/>
          <tx>
            <strRef>
              <f>'Overview'!B17</f>
            </strRef>
          </tx>
          <spPr>
            <a:ln>
              <a:prstDash val="solid"/>
            </a:ln>
          </spPr>
          <cat>
            <numRef>
              <f>'Overview'!$A$18:$A$19</f>
            </numRef>
          </cat>
          <val>
            <numRef>
              <f>'Overview'!$B$18:$B$19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Remaining by child</a:t>
            </a:r>
          </a:p>
        </rich>
      </tx>
    </title>
    <plotArea>
      <pieChart>
        <varyColors val="1"/>
        <ser>
          <idx val="0"/>
          <order val="0"/>
          <tx>
            <strRef>
              <f>'School_Fees_Dashboard'!D11</f>
            </strRef>
          </tx>
          <spPr>
            <a:ln>
              <a:prstDash val="solid"/>
            </a:ln>
          </spPr>
          <cat>
            <numRef>
              <f>'School_Fees_Dashboard'!$A$12:$A$13</f>
            </numRef>
          </cat>
          <val>
            <numRef>
              <f>'School_Fees_Dashboard'!$D$12:$D$13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Due vs Paid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'School_Fees_Dashboard'!B16</f>
            </strRef>
          </tx>
          <spPr>
            <a:ln>
              <a:prstDash val="solid"/>
            </a:ln>
          </spPr>
          <cat>
            <numRef>
              <f>'School_Fees_Dashboard'!$A$17:$A$20</f>
            </numRef>
          </cat>
          <val>
            <numRef>
              <f>'School_Fees_Dashboard'!$B$17:$B$20</f>
            </numRef>
          </val>
        </ser>
        <ser>
          <idx val="1"/>
          <order val="1"/>
          <tx>
            <strRef>
              <f>'School_Fees_Dashboard'!C16</f>
            </strRef>
          </tx>
          <spPr>
            <a:ln>
              <a:prstDash val="solid"/>
            </a:ln>
          </spPr>
          <cat>
            <numRef>
              <f>'School_Fees_Dashboard'!$A$17:$A$20</f>
            </numRef>
          </cat>
          <val>
            <numRef>
              <f>'School_Fees_Dashboard'!$C$17:$C$20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EMI mix</a:t>
            </a:r>
          </a:p>
        </rich>
      </tx>
    </title>
    <plotArea>
      <pieChart>
        <varyColors val="1"/>
        <ser>
          <idx val="0"/>
          <order val="0"/>
          <tx>
            <strRef>
              <f>'EMI_Dashboard'!B10</f>
            </strRef>
          </tx>
          <spPr>
            <a:ln>
              <a:prstDash val="solid"/>
            </a:ln>
          </spPr>
          <cat>
            <numRef>
              <f>'EMI_Dashboard'!$A$11:$A$17</f>
            </numRef>
          </cat>
          <val>
            <numRef>
              <f>'EMI_Dashboard'!$B$11:$B$17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EMI by lender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'EMI_Dashboard'!B10</f>
            </strRef>
          </tx>
          <spPr>
            <a:ln>
              <a:prstDash val="solid"/>
            </a:ln>
          </spPr>
          <cat>
            <numRef>
              <f>'EMI_Dashboard'!$A$11:$A$17</f>
            </numRef>
          </cat>
          <val>
            <numRef>
              <f>'EMI_Dashboard'!$B$11:$B$17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Remaining by chit set</a:t>
            </a:r>
          </a:p>
        </rich>
      </tx>
    </title>
    <plotArea>
      <pieChart>
        <varyColors val="1"/>
        <ser>
          <idx val="0"/>
          <order val="0"/>
          <tx>
            <strRef>
              <f>'Chits_Dashboard'!D12</f>
            </strRef>
          </tx>
          <spPr>
            <a:ln>
              <a:prstDash val="solid"/>
            </a:ln>
          </spPr>
          <cat>
            <numRef>
              <f>'Chits_Dashboard'!$A$13:$A$14</f>
            </numRef>
          </cat>
          <val>
            <numRef>
              <f>'Chits_Dashboard'!$D$13:$D$14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vs remaining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'Chits_Dashboard'!C12</f>
            </strRef>
          </tx>
          <spPr>
            <a:ln>
              <a:prstDash val="solid"/>
            </a:ln>
          </spPr>
          <cat>
            <numRef>
              <f>'Chits_Dashboard'!$A$13:$A$14</f>
            </numRef>
          </cat>
          <val>
            <numRef>
              <f>'Chits_Dashboard'!$C$13:$C$14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vs remaining by 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'Chits_Dashboard'!C12</f>
            </strRef>
          </tx>
          <spPr>
            <a:ln>
              <a:prstDash val="solid"/>
            </a:ln>
          </spPr>
          <cat>
            <numRef>
              <f>'Chits_Dashboard'!$A$13:$A$14</f>
            </numRef>
          </cat>
          <val>
            <numRef>
              <f>'Chits_Dashboard'!$C$13:$C$14</f>
            </numRef>
          </val>
        </ser>
        <ser>
          <idx val="1"/>
          <order val="1"/>
          <tx>
            <strRef>
              <f>'Chits_Dashboard'!D12</f>
            </strRef>
          </tx>
          <spPr>
            <a:ln>
              <a:prstDash val="solid"/>
            </a:ln>
          </spPr>
          <cat>
            <numRef>
              <f>'Chits_Dashboard'!$A$13:$A$14</f>
            </numRef>
          </cat>
          <val>
            <numRef>
              <f>'Chits_Dashboard'!$D$13:$D$14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Credit vs Debit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'Monthly_Summary'!$A$5:$A$62</f>
            </numRef>
          </cat>
          <val>
            <numRef>
              <f>'Monthly_Summary'!$B$5:$B$62</f>
            </numRef>
          </val>
        </ser>
        <ser>
          <idx val="1"/>
          <order val="1"/>
          <tx>
            <strRef>
              <f>'Monthly_Summary'!C4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'Monthly_Summary'!$A$5:$A$62</f>
            </numRef>
          </cat>
          <val>
            <numRef>
              <f>'Monthly_Summary'!$C$5:$C$62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'Monthly_Summary'!E4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'Monthly_Summary'!$A$5:$A$62</f>
            </numRef>
          </cat>
          <val>
            <numRef>
              <f>'Monthly_Summary'!$E$5:$E$62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₹&quot;#,#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Settlement payments by lender</a:t>
            </a:r>
          </a:p>
        </rich>
      </tx>
    </title>
    <plotArea>
      <pieChart>
        <varyColors val="1"/>
        <ser>
          <idx val="0"/>
          <order val="0"/>
          <tx>
            <strRef>
              <f>'Debt_Dashboard'!B11</f>
            </strRef>
          </tx>
          <spPr>
            <a:ln>
              <a:prstDash val="solid"/>
            </a:ln>
          </spPr>
          <cat>
            <numRef>
              <f>'Debt_Dashboard'!$A$12:$A$13</f>
            </numRef>
          </cat>
          <val>
            <numRef>
              <f>'Debt_Dashboard'!$B$12:$B$13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'Phupa_Dashboard'!B9</f>
            </strRef>
          </tx>
          <spPr>
            <a:ln>
              <a:prstDash val="solid"/>
            </a:ln>
          </spPr>
          <cat>
            <numRef>
              <f>'Phupa_Dashboard'!$A$10:$A$14</f>
            </numRef>
          </cat>
          <val>
            <numRef>
              <f>'Phupa_Dashboard'!$B$10:$B$14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choolFees" displayName="tbl_SchoolFees" ref="A4:K12" headerRowCount="1">
  <autoFilter ref="A4:K12"/>
  <tableColumns count="11">
    <tableColumn id="1" name="Transaction_ID"/>
    <tableColumn id="2" name="Child"/>
    <tableColumn id="3" name="Grade"/>
    <tableColumn id="4" name="Fee_Type"/>
    <tableColumn id="5" name="Due_Date"/>
    <tableColumn id="6" name="Paid_Date"/>
    <tableColumn id="7" name="Amount_Due"/>
    <tableColumn id="8" name="Amount_Paid"/>
    <tableColumn id="9" name="Remaining"/>
    <tableColumn id="10" name="Status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EMI" displayName="tbl_EMI" ref="A4:K11" headerRowCount="1">
  <autoFilter ref="A4:K11"/>
  <tableColumns count="11">
    <tableColumn id="1" name="EMI_ID"/>
    <tableColumn id="2" name="Priority"/>
    <tableColumn id="3" name="Lender"/>
    <tableColumn id="4" name="Monthly_EMI"/>
    <tableColumn id="5" name="Product"/>
    <tableColumn id="6" name="Category"/>
    <tableColumn id="7" name="Status"/>
    <tableColumn id="8" name="Debit_Account"/>
    <tableColumn id="9" name="Principal"/>
    <tableColumn id="10" name="EMIs_Remaining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hits" displayName="tbl_Chits" ref="A4:N6" headerRowCount="1">
  <autoFilter ref="A4:N6"/>
  <tableColumns count="14">
    <tableColumn id="1" name="Chit_Set_ID"/>
    <tableColumn id="2" name="Chit_Set"/>
    <tableColumn id="3" name="No_of_Chits"/>
    <tableColumn id="4" name="Start_Date"/>
    <tableColumn id="5" name="Tenure_Months"/>
    <tableColumn id="6" name="Monthly_Payment"/>
    <tableColumn id="7" name="Current_Month_No"/>
    <tableColumn id="8" name="Current_Month"/>
    <tableColumn id="9" name="Amount_Taken"/>
    <tableColumn id="10" name="Total_Commitment"/>
    <tableColumn id="11" name="Paid_To_Date"/>
    <tableColumn id="12" name="Remaining"/>
    <tableColumn id="13" name="Remaining_Months"/>
    <tableColumn id="1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hitPayments" displayName="tbl_ChitPayments" ref="A4:L36" headerRowCount="1">
  <autoFilter ref="A4:L36"/>
  <tableColumns count="12">
    <tableColumn id="1" name="Payment_ID"/>
    <tableColumn id="2" name="Chit_Set_ID"/>
    <tableColumn id="3" name="Chit_Set"/>
    <tableColumn id="4" name="Month_No"/>
    <tableColumn id="5" name="Due_Date"/>
    <tableColumn id="6" name="Paid_Date"/>
    <tableColumn id="7" name="Expected_Amount"/>
    <tableColumn id="8" name="Paid_Amount"/>
    <tableColumn id="9" name="Status"/>
    <tableColumn id="10" name="Payment_Method"/>
    <tableColumn id="11" name="Reference_UTR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ransactions" displayName="tbl_Transactions" ref="A4:J42" headerRowCount="1">
  <autoFilter ref="A4:J42"/>
  <tableColumns count="10">
    <tableColumn id="1" name="Transaction_ID"/>
    <tableColumn id="2" name="Date"/>
    <tableColumn id="3" name="Person"/>
    <tableColumn id="4" name="Description"/>
    <tableColumn id="5" name="Credit"/>
    <tableColumn id="6" name="Debit"/>
    <tableColumn id="7" name="Running_Balance"/>
    <tableColumn id="8" name="Payment_Method"/>
    <tableColumn id="9" name="Reference_UTR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Monthly" displayName="tbl_Monthly" ref="A4:E62" headerRowCount="1">
  <autoFilter ref="A4:E62"/>
  <tableColumns count="5">
    <tableColumn id="1" name="Month"/>
    <tableColumn id="2" name="Total_Credit"/>
    <tableColumn id="3" name="Total_Debit"/>
    <tableColumn id="4" name="Net"/>
    <tableColumn id="5" name="Closing_Bal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Debt" displayName="tbl_Debt" ref="A4:M7" headerRowCount="1">
  <autoFilter ref="A4:M7"/>
  <tableColumns count="13">
    <tableColumn id="1" name="Debt_ID"/>
    <tableColumn id="2" name="Lender"/>
    <tableColumn id="3" name="Account_Ending"/>
    <tableColumn id="4" name="Liability_Type"/>
    <tableColumn id="5" name="Original_Outstanding"/>
    <tableColumn id="6" name="Settlement_Amount"/>
    <tableColumn id="7" name="Paid_Amount"/>
    <tableColumn id="8" name="Settlement_Date"/>
    <tableColumn id="9" name="Payment_Status"/>
    <tableColumn id="10" name="Closure_Status"/>
    <tableColumn id="11" name="No_Dues_Status"/>
    <tableColumn id="12" name="Reference_UTR"/>
    <tableColumn id="13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hupa" displayName="tbl_Phupa" ref="A4:G9" headerRowCount="1">
  <autoFilter ref="A4:G9"/>
  <tableColumns count="7">
    <tableColumn id="1" name="Transaction_ID"/>
    <tableColumn id="2" name="Date"/>
    <tableColumn id="3" name="Category"/>
    <tableColumn id="4" name="Amount_Due"/>
    <tableColumn id="5" name="Amount_Received"/>
    <tableColumn id="6" name="Remaining"/>
    <tableColumn id="7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Loans" displayName="tbl_Loans" ref="A4:O5" headerRowCount="1">
  <autoFilter ref="A4:O5"/>
  <tableColumns count="15">
    <tableColumn id="1" name="Loan_ID"/>
    <tableColumn id="2" name="Loan_Name"/>
    <tableColumn id="3" name="Lender"/>
    <tableColumn id="4" name="Loan_Type"/>
    <tableColumn id="5" name="Start_Date"/>
    <tableColumn id="6" name="End_Date"/>
    <tableColumn id="7" name="Original_Principal"/>
    <tableColumn id="8" name="Interest_Rate_Pct"/>
    <tableColumn id="9" name="Tenure_Months"/>
    <tableColumn id="10" name="EMI"/>
    <tableColumn id="11" name="EMIs_Paid"/>
    <tableColumn id="12" name="Outstanding_Principal"/>
    <tableColumn id="13" name="Next_EMI_Date"/>
    <tableColumn id="14" name="Status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6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Personal Finance — Overview</t>
        </is>
      </c>
    </row>
    <row r="2">
      <c r="A2" s="2" t="inlineStr">
        <is>
          <t>Open this tab first. All figures are live formulas against the data sheets.</t>
        </is>
      </c>
    </row>
    <row r="4">
      <c r="A4" s="3" t="inlineStr">
        <is>
          <t>Current monthly commitments</t>
        </is>
      </c>
    </row>
    <row r="5">
      <c r="A5" s="4" t="inlineStr">
        <is>
          <t>Active EMIs (incl. insurance)</t>
        </is>
      </c>
      <c r="B5" s="5">
        <f>SUMIF(EMI!G:G,"Active",EMI!D:D)</f>
        <v/>
      </c>
    </row>
    <row r="6">
      <c r="A6" s="4" t="inlineStr">
        <is>
          <t>Chit monthly</t>
        </is>
      </c>
      <c r="B6" s="5">
        <f>SUM(Chits!F5:F500)</f>
        <v/>
      </c>
    </row>
    <row r="7">
      <c r="A7" s="4" t="inlineStr">
        <is>
          <t>Combined EMI + Chit / month</t>
        </is>
      </c>
      <c r="B7" s="6">
        <f>B5+B6</f>
        <v/>
      </c>
    </row>
    <row r="9">
      <c r="A9" s="3" t="inlineStr">
        <is>
          <t>Balances &amp; remaining</t>
        </is>
      </c>
    </row>
    <row r="10">
      <c r="A10" s="4" t="inlineStr">
        <is>
          <t>Friend ledger balance</t>
        </is>
      </c>
      <c r="B10" s="7">
        <f>SUM(Transactions!E5:E500)-SUM(Transactions!F5:F500)</f>
        <v/>
      </c>
    </row>
    <row r="11">
      <c r="A11" s="4" t="inlineStr">
        <is>
          <t>School fees remaining</t>
        </is>
      </c>
      <c r="B11" s="6">
        <f>SUM(School_Fees!I5:I500)</f>
        <v/>
      </c>
    </row>
    <row r="12">
      <c r="A12" s="4" t="inlineStr">
        <is>
          <t>Chit remaining</t>
        </is>
      </c>
      <c r="B12" s="6">
        <f>SUM(Chits!L5:L500)</f>
        <v/>
      </c>
    </row>
    <row r="13">
      <c r="A13" s="4" t="inlineStr">
        <is>
          <t>Phupa remaining</t>
        </is>
      </c>
      <c r="B13" s="6">
        <f>SUM(Phupa!D5:D500)-SUM(Phupa!E5:E500)</f>
        <v/>
      </c>
    </row>
    <row r="14">
      <c r="A14" s="4" t="inlineStr">
        <is>
          <t>Debt settlements paid</t>
        </is>
      </c>
      <c r="B14" s="7">
        <f>SUM(Debt_Settlements!G5:G500)</f>
        <v/>
      </c>
    </row>
    <row r="16">
      <c r="A16" s="3" t="inlineStr">
        <is>
          <t>Monthly mix</t>
        </is>
      </c>
    </row>
    <row r="17" ht="22" customHeight="1">
      <c r="A17" s="8" t="inlineStr">
        <is>
          <t>Item</t>
        </is>
      </c>
      <c r="B17" s="8" t="inlineStr">
        <is>
          <t>Amount</t>
        </is>
      </c>
    </row>
    <row r="18">
      <c r="A18" t="inlineStr">
        <is>
          <t>EMIs</t>
        </is>
      </c>
      <c r="B18" s="9">
        <f>B5</f>
        <v/>
      </c>
    </row>
    <row r="19">
      <c r="A19" t="inlineStr">
        <is>
          <t>Chits</t>
        </is>
      </c>
      <c r="B19" s="9">
        <f>B6</f>
        <v/>
      </c>
    </row>
    <row r="21">
      <c r="A21" s="3" t="inlineStr">
        <is>
          <t>Open items to action</t>
        </is>
      </c>
    </row>
    <row r="22">
      <c r="A22" t="inlineStr">
        <is>
          <t>School installments still Due/Partial</t>
        </is>
      </c>
      <c r="B22" s="10">
        <f>COUNTIF(School_Fees!J:J,"Due")+COUNTIF(School_Fees!J:J,"Partial")</f>
        <v/>
      </c>
    </row>
    <row r="23">
      <c r="A23" t="inlineStr">
        <is>
          <t>Chit installments still Due</t>
        </is>
      </c>
      <c r="B23" s="10">
        <f>COUNTIF(Chit_Payments!I:I,"Due")</f>
        <v/>
      </c>
    </row>
    <row r="24">
      <c r="A24" t="inlineStr">
        <is>
          <t>Settlements awaiting closure confirmation</t>
        </is>
      </c>
      <c r="B24" s="10">
        <f>COUNTIFS(Debt_Settlements!I:I,"Paid",Debt_Settlements!J:J,"To Confirm")</f>
        <v/>
      </c>
    </row>
    <row r="26">
      <c r="A26" s="3" t="inlineStr">
        <is>
          <t>How to use</t>
        </is>
      </c>
    </row>
    <row r="27">
      <c r="A27" s="2" t="inlineStr">
        <is>
          <t>Enter data only on the dark-blue tabs (School_Fees, EMI, Chits, Chit_Payments, Transactions, Debt_Settlements, Phupa, Loans).</t>
        </is>
      </c>
    </row>
    <row r="28">
      <c r="A28" s="2" t="inlineStr">
        <is>
          <t>Green tabs are dashboards — do not type transactions there.</t>
        </is>
      </c>
    </row>
    <row r="29">
      <c r="A29" s="2" t="inlineStr">
        <is>
          <t>Always add a new row; never overwrite a paid installment.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School Fees Dashboard</t>
        </is>
      </c>
    </row>
    <row r="2">
      <c r="A2" s="2" t="inlineStr">
        <is>
          <t>Live totals from School_Fees. Use this tab for a quick check.</t>
        </is>
      </c>
    </row>
    <row r="4">
      <c r="A4" s="4" t="inlineStr">
        <is>
          <t>Total fee (all children)</t>
        </is>
      </c>
      <c r="B4" s="5">
        <f>SUM(School_Fees!G5:G500)</f>
        <v/>
      </c>
    </row>
    <row r="5">
      <c r="A5" s="4" t="inlineStr">
        <is>
          <t>Total paid</t>
        </is>
      </c>
      <c r="B5" s="5">
        <f>SUM(School_Fees!H5:H500)</f>
        <v/>
      </c>
    </row>
    <row r="6">
      <c r="A6" s="4" t="inlineStr">
        <is>
          <t>Remaining</t>
        </is>
      </c>
      <c r="B6" s="6">
        <f>SUM(School_Fees!I5:I500)</f>
        <v/>
      </c>
    </row>
    <row r="7">
      <c r="A7" s="4" t="inlineStr">
        <is>
          <t>Payment progress</t>
        </is>
      </c>
      <c r="B7" s="11">
        <f>IF(B4=0,0,B5/B4)</f>
        <v/>
      </c>
    </row>
    <row r="8">
      <c r="A8" s="4" t="inlineStr">
        <is>
          <t>Open items (Due/Partial)</t>
        </is>
      </c>
      <c r="B8" s="12">
        <f>COUNTIF(School_Fees!J5:J500,"Due")+COUNTIF(School_Fees!J5:J500,"Partial")</f>
        <v/>
      </c>
    </row>
    <row r="10">
      <c r="A10" s="3" t="inlineStr">
        <is>
          <t>By child</t>
        </is>
      </c>
    </row>
    <row r="11" ht="22" customHeight="1">
      <c r="A11" s="8" t="inlineStr">
        <is>
          <t>Child</t>
        </is>
      </c>
      <c r="B11" s="8" t="inlineStr">
        <is>
          <t>Due</t>
        </is>
      </c>
      <c r="C11" s="8" t="inlineStr">
        <is>
          <t>Paid</t>
        </is>
      </c>
      <c r="D11" s="8" t="inlineStr">
        <is>
          <t>Remaining</t>
        </is>
      </c>
    </row>
    <row r="12">
      <c r="A12" t="inlineStr">
        <is>
          <t>Daughter</t>
        </is>
      </c>
      <c r="B12" s="13">
        <f>SUMIF(School_Fees!B:B,A12,School_Fees!G:G)</f>
        <v/>
      </c>
      <c r="C12" s="13">
        <f>SUMIF(School_Fees!B:B,A12,School_Fees!H:H)</f>
        <v/>
      </c>
      <c r="D12" s="13">
        <f>B12-C12</f>
        <v/>
      </c>
    </row>
    <row r="13">
      <c r="A13" t="inlineStr">
        <is>
          <t>Son</t>
        </is>
      </c>
      <c r="B13" s="13">
        <f>SUMIF(School_Fees!B:B,A13,School_Fees!G:G)</f>
        <v/>
      </c>
      <c r="C13" s="13">
        <f>SUMIF(School_Fees!B:B,A13,School_Fees!H:H)</f>
        <v/>
      </c>
      <c r="D13" s="13">
        <f>B13-C13</f>
        <v/>
      </c>
    </row>
    <row r="15">
      <c r="A15" s="3" t="inlineStr">
        <is>
          <t>By fee type</t>
        </is>
      </c>
    </row>
    <row r="16" ht="22" customHeight="1">
      <c r="A16" s="8" t="inlineStr">
        <is>
          <t>Fee_Type</t>
        </is>
      </c>
      <c r="B16" s="8" t="inlineStr">
        <is>
          <t>Due</t>
        </is>
      </c>
      <c r="C16" s="8" t="inlineStr">
        <is>
          <t>Paid</t>
        </is>
      </c>
    </row>
    <row r="17">
      <c r="A17" t="inlineStr">
        <is>
          <t>Term 1</t>
        </is>
      </c>
      <c r="B17" s="9">
        <f>SUMIF(School_Fees!D:D,A17,School_Fees!G:G)</f>
        <v/>
      </c>
      <c r="C17" s="9">
        <f>SUMIF(School_Fees!D:D,A17,School_Fees!H:H)</f>
        <v/>
      </c>
    </row>
    <row r="18">
      <c r="A18" t="inlineStr">
        <is>
          <t>Term 2</t>
        </is>
      </c>
      <c r="B18" s="9">
        <f>SUMIF(School_Fees!D:D,A18,School_Fees!G:G)</f>
        <v/>
      </c>
      <c r="C18" s="9">
        <f>SUMIF(School_Fees!D:D,A18,School_Fees!H:H)</f>
        <v/>
      </c>
    </row>
    <row r="19">
      <c r="A19" t="inlineStr">
        <is>
          <t>Term 3</t>
        </is>
      </c>
      <c r="B19" s="9">
        <f>SUMIF(School_Fees!D:D,A19,School_Fees!G:G)</f>
        <v/>
      </c>
      <c r="C19" s="9">
        <f>SUMIF(School_Fees!D:D,A19,School_Fees!H:H)</f>
        <v/>
      </c>
    </row>
    <row r="20">
      <c r="A20" t="inlineStr">
        <is>
          <t>Books &amp; Uniform</t>
        </is>
      </c>
      <c r="B20" s="9">
        <f>SUMIF(School_Fees!D:D,A20,School_Fees!G:G)</f>
        <v/>
      </c>
      <c r="C20" s="9">
        <f>SUMIF(School_Fees!D:D,A20,School_Fees!H:H)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School Fees — transaction log</t>
        </is>
      </c>
    </row>
    <row r="2">
      <c r="A2" s="2" t="inlineStr">
        <is>
          <t>One row per fee installment. Fill Due_Date / Paid_Date when you have them. Remaining is calculated.</t>
        </is>
      </c>
    </row>
    <row r="4" ht="22" customHeight="1">
      <c r="A4" s="8" t="inlineStr">
        <is>
          <t>Transaction_ID</t>
        </is>
      </c>
      <c r="B4" s="8" t="inlineStr">
        <is>
          <t>Child</t>
        </is>
      </c>
      <c r="C4" s="8" t="inlineStr">
        <is>
          <t>Grade</t>
        </is>
      </c>
      <c r="D4" s="8" t="inlineStr">
        <is>
          <t>Fee_Type</t>
        </is>
      </c>
      <c r="E4" s="8" t="inlineStr">
        <is>
          <t>Due_Date</t>
        </is>
      </c>
      <c r="F4" s="8" t="inlineStr">
        <is>
          <t>Paid_Date</t>
        </is>
      </c>
      <c r="G4" s="8" t="inlineStr">
        <is>
          <t>Amount_Due</t>
        </is>
      </c>
      <c r="H4" s="8" t="inlineStr">
        <is>
          <t>Amount_Paid</t>
        </is>
      </c>
      <c r="I4" s="8" t="inlineStr">
        <is>
          <t>Remaining</t>
        </is>
      </c>
      <c r="J4" s="8" t="inlineStr">
        <is>
          <t>Status</t>
        </is>
      </c>
      <c r="K4" s="8" t="inlineStr">
        <is>
          <t>Notes</t>
        </is>
      </c>
    </row>
    <row r="5">
      <c r="A5" s="14" t="inlineStr">
        <is>
          <t>SF-001</t>
        </is>
      </c>
      <c r="B5" s="14" t="inlineStr">
        <is>
          <t>Daughter</t>
        </is>
      </c>
      <c r="C5" s="14" t="inlineStr">
        <is>
          <t>Grade 5</t>
        </is>
      </c>
      <c r="D5" s="14" t="inlineStr">
        <is>
          <t>Term 1</t>
        </is>
      </c>
      <c r="E5" s="15" t="n"/>
      <c r="F5" s="15" t="n"/>
      <c r="G5" s="16" t="n">
        <v>40000</v>
      </c>
      <c r="H5" s="16" t="n">
        <v>40000</v>
      </c>
      <c r="I5" s="16">
        <f>G5-H5</f>
        <v/>
      </c>
      <c r="J5" s="14" t="inlineStr">
        <is>
          <t>Paid</t>
        </is>
      </c>
      <c r="K5" s="14" t="inlineStr">
        <is>
          <t>Baseline paid amount</t>
        </is>
      </c>
    </row>
    <row r="6">
      <c r="A6" s="14" t="inlineStr">
        <is>
          <t>SF-002</t>
        </is>
      </c>
      <c r="B6" s="14" t="inlineStr">
        <is>
          <t>Daughter</t>
        </is>
      </c>
      <c r="C6" s="14" t="inlineStr">
        <is>
          <t>Grade 5</t>
        </is>
      </c>
      <c r="D6" s="14" t="inlineStr">
        <is>
          <t>Books &amp; Uniform</t>
        </is>
      </c>
      <c r="E6" s="15" t="n"/>
      <c r="F6" s="15" t="n"/>
      <c r="G6" s="16" t="n">
        <v>16000</v>
      </c>
      <c r="H6" s="16" t="n">
        <v>16000</v>
      </c>
      <c r="I6" s="16">
        <f>G6-H6</f>
        <v/>
      </c>
      <c r="J6" s="14" t="inlineStr">
        <is>
          <t>Paid</t>
        </is>
      </c>
      <c r="K6" s="14" t="inlineStr">
        <is>
          <t>Baseline paid amount</t>
        </is>
      </c>
    </row>
    <row r="7">
      <c r="A7" s="14" t="inlineStr">
        <is>
          <t>SF-003</t>
        </is>
      </c>
      <c r="B7" s="14" t="inlineStr">
        <is>
          <t>Daughter</t>
        </is>
      </c>
      <c r="C7" s="14" t="inlineStr">
        <is>
          <t>Grade 5</t>
        </is>
      </c>
      <c r="D7" s="14" t="inlineStr">
        <is>
          <t>Term 2</t>
        </is>
      </c>
      <c r="E7" s="15" t="n"/>
      <c r="F7" s="15" t="n"/>
      <c r="G7" s="16" t="n">
        <v>40000</v>
      </c>
      <c r="H7" s="16" t="n">
        <v>0</v>
      </c>
      <c r="I7" s="16">
        <f>G7-H7</f>
        <v/>
      </c>
      <c r="J7" s="14" t="inlineStr">
        <is>
          <t>Due</t>
        </is>
      </c>
      <c r="K7" s="14" t="n"/>
    </row>
    <row r="8">
      <c r="A8" s="14" t="inlineStr">
        <is>
          <t>SF-004</t>
        </is>
      </c>
      <c r="B8" s="14" t="inlineStr">
        <is>
          <t>Daughter</t>
        </is>
      </c>
      <c r="C8" s="14" t="inlineStr">
        <is>
          <t>Grade 5</t>
        </is>
      </c>
      <c r="D8" s="14" t="inlineStr">
        <is>
          <t>Term 3</t>
        </is>
      </c>
      <c r="E8" s="15" t="n"/>
      <c r="F8" s="15" t="n"/>
      <c r="G8" s="16" t="n">
        <v>40000</v>
      </c>
      <c r="H8" s="16" t="n">
        <v>0</v>
      </c>
      <c r="I8" s="16">
        <f>G8-H8</f>
        <v/>
      </c>
      <c r="J8" s="14" t="inlineStr">
        <is>
          <t>Due</t>
        </is>
      </c>
      <c r="K8" s="14" t="n"/>
    </row>
    <row r="9">
      <c r="A9" s="14" t="inlineStr">
        <is>
          <t>SF-005</t>
        </is>
      </c>
      <c r="B9" s="14" t="inlineStr">
        <is>
          <t>Son</t>
        </is>
      </c>
      <c r="C9" s="14" t="inlineStr">
        <is>
          <t>SKG</t>
        </is>
      </c>
      <c r="D9" s="14" t="inlineStr">
        <is>
          <t>Term 1</t>
        </is>
      </c>
      <c r="E9" s="15" t="n"/>
      <c r="F9" s="15" t="n"/>
      <c r="G9" s="16" t="n">
        <v>34000</v>
      </c>
      <c r="H9" s="16" t="n">
        <v>10000</v>
      </c>
      <c r="I9" s="16">
        <f>G9-H9</f>
        <v/>
      </c>
      <c r="J9" s="14" t="inlineStr">
        <is>
          <t>Partial</t>
        </is>
      </c>
      <c r="K9" s="14" t="inlineStr">
        <is>
          <t>₹10,000 paid; ₹24,000 remaining</t>
        </is>
      </c>
    </row>
    <row r="10">
      <c r="A10" s="14" t="inlineStr">
        <is>
          <t>SF-006</t>
        </is>
      </c>
      <c r="B10" s="14" t="inlineStr">
        <is>
          <t>Son</t>
        </is>
      </c>
      <c r="C10" s="14" t="inlineStr">
        <is>
          <t>SKG</t>
        </is>
      </c>
      <c r="D10" s="14" t="inlineStr">
        <is>
          <t>Books &amp; Uniform</t>
        </is>
      </c>
      <c r="E10" s="15" t="n"/>
      <c r="F10" s="15" t="n"/>
      <c r="G10" s="16" t="n">
        <v>14000</v>
      </c>
      <c r="H10" s="16" t="n">
        <v>14000</v>
      </c>
      <c r="I10" s="16">
        <f>G10-H10</f>
        <v/>
      </c>
      <c r="J10" s="14" t="inlineStr">
        <is>
          <t>Paid</t>
        </is>
      </c>
      <c r="K10" s="14" t="inlineStr">
        <is>
          <t>Baseline paid amount</t>
        </is>
      </c>
    </row>
    <row r="11">
      <c r="A11" s="14" t="inlineStr">
        <is>
          <t>SF-007</t>
        </is>
      </c>
      <c r="B11" s="14" t="inlineStr">
        <is>
          <t>Son</t>
        </is>
      </c>
      <c r="C11" s="14" t="inlineStr">
        <is>
          <t>SKG</t>
        </is>
      </c>
      <c r="D11" s="14" t="inlineStr">
        <is>
          <t>Term 2</t>
        </is>
      </c>
      <c r="E11" s="15" t="n"/>
      <c r="F11" s="15" t="n"/>
      <c r="G11" s="16" t="n">
        <v>34000</v>
      </c>
      <c r="H11" s="16" t="n">
        <v>0</v>
      </c>
      <c r="I11" s="16">
        <f>G11-H11</f>
        <v/>
      </c>
      <c r="J11" s="14" t="inlineStr">
        <is>
          <t>Due</t>
        </is>
      </c>
      <c r="K11" s="14" t="n"/>
    </row>
    <row r="12">
      <c r="A12" s="14" t="inlineStr">
        <is>
          <t>SF-008</t>
        </is>
      </c>
      <c r="B12" s="14" t="inlineStr">
        <is>
          <t>Son</t>
        </is>
      </c>
      <c r="C12" s="14" t="inlineStr">
        <is>
          <t>SKG</t>
        </is>
      </c>
      <c r="D12" s="14" t="inlineStr">
        <is>
          <t>Term 3</t>
        </is>
      </c>
      <c r="E12" s="15" t="n"/>
      <c r="F12" s="15" t="n"/>
      <c r="G12" s="16" t="n">
        <v>32000</v>
      </c>
      <c r="H12" s="16" t="n">
        <v>0</v>
      </c>
      <c r="I12" s="16">
        <f>G12-H12</f>
        <v/>
      </c>
      <c r="J12" s="14" t="inlineStr">
        <is>
          <t>Due</t>
        </is>
      </c>
      <c r="K12" s="14" t="n"/>
    </row>
  </sheetData>
  <autoFilter ref="A4:K12"/>
  <dataValidations count="3">
    <dataValidation sqref="B5:B200" showDropDown="0" showInputMessage="0" showErrorMessage="0" allowBlank="1" errorTitle="Invalid value" error="Pick a value from the list" type="list">
      <formula1>=Setup!$E$6:$E$7</formula1>
    </dataValidation>
    <dataValidation sqref="D5:D200" showDropDown="0" showInputMessage="0" showErrorMessage="0" allowBlank="1" errorTitle="Invalid value" error="Pick a value from the list" type="list">
      <formula1>=Setup!$G$6:$G$12</formula1>
    </dataValidation>
    <dataValidation sqref="J5:J200" showDropDown="0" showInputMessage="0" showErrorMessage="0" allowBlank="1" errorTitle="Invalid value" error="Pick a value from the list" type="list">
      <formula1>=Setup!$A$6:$A$14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EMI Dashboard</t>
        </is>
      </c>
    </row>
    <row r="2">
      <c r="A2" s="2" t="inlineStr">
        <is>
          <t>Monthly outflow and mix. Health insurance is included as a recurring item.</t>
        </is>
      </c>
    </row>
    <row r="4">
      <c r="A4" s="4" t="inlineStr">
        <is>
          <t>Active monthly EMI</t>
        </is>
      </c>
      <c r="B4" s="5">
        <f>SUMIF(EMI!G:G,"Active",EMI!D:D)</f>
        <v/>
      </c>
    </row>
    <row r="5">
      <c r="A5" s="4" t="inlineStr">
        <is>
          <t>Active EMI count</t>
        </is>
      </c>
      <c r="B5" s="17">
        <f>COUNTIF(EMI!G:G,"Active")</f>
        <v/>
      </c>
    </row>
    <row r="6">
      <c r="A6" s="4" t="inlineStr">
        <is>
          <t>Known principal (where filled)</t>
        </is>
      </c>
      <c r="B6" s="7">
        <f>SUM(EMI!I5:I500)</f>
        <v/>
      </c>
    </row>
    <row r="7">
      <c r="A7" s="4" t="inlineStr">
        <is>
          <t>Annual EMI outflow (active × 12)</t>
        </is>
      </c>
      <c r="B7" s="6">
        <f>B4*12</f>
        <v/>
      </c>
    </row>
    <row r="9">
      <c r="A9" s="3" t="inlineStr">
        <is>
          <t>By lender (active)</t>
        </is>
      </c>
    </row>
    <row r="10" ht="22" customHeight="1">
      <c r="A10" s="8" t="inlineStr">
        <is>
          <t>Lender</t>
        </is>
      </c>
      <c r="B10" s="8" t="inlineStr">
        <is>
          <t>Monthly_EMI</t>
        </is>
      </c>
    </row>
    <row r="11">
      <c r="A11" t="inlineStr">
        <is>
          <t>Car EMI</t>
        </is>
      </c>
      <c r="B11" s="9">
        <f>SUMIFS(EMI!D:D,EMI!C:C,A11,EMI!G:G,"Active")</f>
        <v/>
      </c>
    </row>
    <row r="12">
      <c r="A12" t="inlineStr">
        <is>
          <t>Direct D. Bajaj</t>
        </is>
      </c>
      <c r="B12" s="9">
        <f>SUMIFS(EMI!D:D,EMI!C:C,A12,EMI!G:G,"Active")</f>
        <v/>
      </c>
    </row>
    <row r="13">
      <c r="A13" t="inlineStr">
        <is>
          <t>IDFC First</t>
        </is>
      </c>
      <c r="B13" s="9">
        <f>SUMIFS(EMI!D:D,EMI!C:C,A13,EMI!G:G,"Active")</f>
        <v/>
      </c>
    </row>
    <row r="14">
      <c r="A14" t="inlineStr">
        <is>
          <t>New Bike EMI</t>
        </is>
      </c>
      <c r="B14" s="9">
        <f>SUMIFS(EMI!D:D,EMI!C:C,A14,EMI!G:G,"Active")</f>
        <v/>
      </c>
    </row>
    <row r="15">
      <c r="A15" t="inlineStr">
        <is>
          <t>New PhonePe Loan</t>
        </is>
      </c>
      <c r="B15" s="9">
        <f>SUMIFS(EMI!D:D,EMI!C:C,A15,EMI!G:G,"Active")</f>
        <v/>
      </c>
    </row>
    <row r="16">
      <c r="A16" t="inlineStr">
        <is>
          <t>Pocket4 – Bajaj</t>
        </is>
      </c>
      <c r="B16" s="9">
        <f>SUMIFS(EMI!D:D,EMI!C:C,A16,EMI!G:G,"Active")</f>
        <v/>
      </c>
    </row>
    <row r="17">
      <c r="A17" t="inlineStr">
        <is>
          <t>Health insurance</t>
        </is>
      </c>
      <c r="B17" s="9">
        <f>SUMIFS(EMI!D:D,EMI!C:C,A17,EMI!G:G,"Active")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EMI register</t>
        </is>
      </c>
    </row>
    <row r="2">
      <c r="A2" s="2" t="inlineStr">
        <is>
          <t>One row per active/closed EMI. Do not put totals in this table — see EMI_Dashboard.</t>
        </is>
      </c>
    </row>
    <row r="4" ht="22" customHeight="1">
      <c r="A4" s="8" t="inlineStr">
        <is>
          <t>EMI_ID</t>
        </is>
      </c>
      <c r="B4" s="8" t="inlineStr">
        <is>
          <t>Priority</t>
        </is>
      </c>
      <c r="C4" s="8" t="inlineStr">
        <is>
          <t>Lender</t>
        </is>
      </c>
      <c r="D4" s="8" t="inlineStr">
        <is>
          <t>Monthly_EMI</t>
        </is>
      </c>
      <c r="E4" s="8" t="inlineStr">
        <is>
          <t>Product</t>
        </is>
      </c>
      <c r="F4" s="8" t="inlineStr">
        <is>
          <t>Category</t>
        </is>
      </c>
      <c r="G4" s="8" t="inlineStr">
        <is>
          <t>Status</t>
        </is>
      </c>
      <c r="H4" s="8" t="inlineStr">
        <is>
          <t>Debit_Account</t>
        </is>
      </c>
      <c r="I4" s="8" t="inlineStr">
        <is>
          <t>Principal</t>
        </is>
      </c>
      <c r="J4" s="8" t="inlineStr">
        <is>
          <t>EMIs_Remaining</t>
        </is>
      </c>
      <c r="K4" s="8" t="inlineStr">
        <is>
          <t>Notes</t>
        </is>
      </c>
    </row>
    <row r="5">
      <c r="A5" s="14" t="inlineStr">
        <is>
          <t>EMI-001</t>
        </is>
      </c>
      <c r="B5" s="14" t="n">
        <v>1</v>
      </c>
      <c r="C5" s="14" t="inlineStr">
        <is>
          <t>Car EMI</t>
        </is>
      </c>
      <c r="D5" s="16" t="n">
        <v>11805</v>
      </c>
      <c r="E5" s="14" t="inlineStr">
        <is>
          <t>Car</t>
        </is>
      </c>
      <c r="F5" s="14" t="inlineStr">
        <is>
          <t>EMI / Loan</t>
        </is>
      </c>
      <c r="G5" s="14" t="inlineStr">
        <is>
          <t>Active</t>
        </is>
      </c>
      <c r="H5" s="14" t="inlineStr">
        <is>
          <t>kotak-bharathi</t>
        </is>
      </c>
      <c r="I5" s="16" t="n"/>
      <c r="J5" s="14" t="n"/>
      <c r="K5" s="14" t="n"/>
    </row>
    <row r="6">
      <c r="A6" s="14" t="inlineStr">
        <is>
          <t>EMI-002</t>
        </is>
      </c>
      <c r="B6" s="14" t="n">
        <v>2</v>
      </c>
      <c r="C6" s="14" t="inlineStr">
        <is>
          <t>Direct D. Bajaj</t>
        </is>
      </c>
      <c r="D6" s="16" t="n">
        <v>6537</v>
      </c>
      <c r="E6" s="14" t="inlineStr">
        <is>
          <t>Bajaj P.L</t>
        </is>
      </c>
      <c r="F6" s="14" t="inlineStr">
        <is>
          <t>EMI / Loan</t>
        </is>
      </c>
      <c r="G6" s="14" t="inlineStr">
        <is>
          <t>Active</t>
        </is>
      </c>
      <c r="H6" s="14" t="inlineStr">
        <is>
          <t>kotak-bharathi</t>
        </is>
      </c>
      <c r="I6" s="16" t="n"/>
      <c r="J6" s="14" t="n"/>
      <c r="K6" s="14" t="n"/>
    </row>
    <row r="7">
      <c r="A7" s="14" t="inlineStr">
        <is>
          <t>EMI-003</t>
        </is>
      </c>
      <c r="B7" s="14" t="n">
        <v>4</v>
      </c>
      <c r="C7" s="14" t="inlineStr">
        <is>
          <t>IDFC First</t>
        </is>
      </c>
      <c r="D7" s="16" t="n">
        <v>4989</v>
      </c>
      <c r="E7" s="14" t="inlineStr">
        <is>
          <t>Loan</t>
        </is>
      </c>
      <c r="F7" s="14" t="inlineStr">
        <is>
          <t>EMI / Loan</t>
        </is>
      </c>
      <c r="G7" s="14" t="inlineStr">
        <is>
          <t>Active</t>
        </is>
      </c>
      <c r="H7" s="14" t="inlineStr">
        <is>
          <t>kotak-bharathi</t>
        </is>
      </c>
      <c r="I7" s="16" t="n"/>
      <c r="J7" s="14" t="n"/>
      <c r="K7" s="14" t="n"/>
    </row>
    <row r="8">
      <c r="A8" s="14" t="inlineStr">
        <is>
          <t>EMI-004</t>
        </is>
      </c>
      <c r="B8" s="14" t="n"/>
      <c r="C8" s="14" t="inlineStr">
        <is>
          <t>New Bike EMI</t>
        </is>
      </c>
      <c r="D8" s="16" t="n">
        <v>8394</v>
      </c>
      <c r="E8" s="14" t="inlineStr">
        <is>
          <t>New Bike</t>
        </is>
      </c>
      <c r="F8" s="14" t="inlineStr">
        <is>
          <t>EMI / Loan</t>
        </is>
      </c>
      <c r="G8" s="14" t="inlineStr">
        <is>
          <t>Active</t>
        </is>
      </c>
      <c r="H8" s="14" t="inlineStr">
        <is>
          <t>AU-bharathi</t>
        </is>
      </c>
      <c r="I8" s="16" t="n">
        <v>120000</v>
      </c>
      <c r="J8" s="14" t="n"/>
      <c r="K8" s="14" t="n"/>
    </row>
    <row r="9">
      <c r="A9" s="14" t="inlineStr">
        <is>
          <t>EMI-005</t>
        </is>
      </c>
      <c r="B9" s="14" t="n"/>
      <c r="C9" s="14" t="inlineStr">
        <is>
          <t>New PhonePe Loan</t>
        </is>
      </c>
      <c r="D9" s="16" t="n">
        <v>17000</v>
      </c>
      <c r="E9" s="14" t="inlineStr">
        <is>
          <t>Phone</t>
        </is>
      </c>
      <c r="F9" s="14" t="inlineStr">
        <is>
          <t>EMI / Loan</t>
        </is>
      </c>
      <c r="G9" s="14" t="inlineStr">
        <is>
          <t>Active</t>
        </is>
      </c>
      <c r="H9" s="14" t="inlineStr">
        <is>
          <t>kotak-bharathi</t>
        </is>
      </c>
      <c r="I9" s="16" t="n">
        <v>400000</v>
      </c>
      <c r="J9" s="14" t="n"/>
      <c r="K9" s="14" t="n"/>
    </row>
    <row r="10">
      <c r="A10" s="14" t="inlineStr">
        <is>
          <t>EMI-006</t>
        </is>
      </c>
      <c r="B10" s="14" t="n"/>
      <c r="C10" s="14" t="inlineStr">
        <is>
          <t>Pocket4 – Bajaj</t>
        </is>
      </c>
      <c r="D10" s="16" t="n">
        <v>12000</v>
      </c>
      <c r="E10" s="14" t="inlineStr">
        <is>
          <t>Pocket4</t>
        </is>
      </c>
      <c r="F10" s="14" t="inlineStr">
        <is>
          <t>EMI / Loan</t>
        </is>
      </c>
      <c r="G10" s="14" t="inlineStr">
        <is>
          <t>Active</t>
        </is>
      </c>
      <c r="H10" s="14" t="inlineStr">
        <is>
          <t>kotak-bharathi</t>
        </is>
      </c>
      <c r="I10" s="16" t="n">
        <v>75000</v>
      </c>
      <c r="J10" s="14" t="n"/>
      <c r="K10" s="14" t="n"/>
    </row>
    <row r="11">
      <c r="A11" s="14" t="inlineStr">
        <is>
          <t>EMI-007</t>
        </is>
      </c>
      <c r="B11" s="14" t="n"/>
      <c r="C11" s="14" t="inlineStr">
        <is>
          <t>Health insurance</t>
        </is>
      </c>
      <c r="D11" s="16" t="n">
        <v>1600</v>
      </c>
      <c r="E11" s="14" t="n"/>
      <c r="F11" s="14" t="inlineStr">
        <is>
          <t>Insurance</t>
        </is>
      </c>
      <c r="G11" s="14" t="inlineStr">
        <is>
          <t>Active</t>
        </is>
      </c>
      <c r="H11" s="14" t="n"/>
      <c r="I11" s="16" t="n"/>
      <c r="J11" s="14" t="n"/>
      <c r="K11" s="14" t="n"/>
    </row>
  </sheetData>
  <autoFilter ref="A4:K11"/>
  <dataValidations count="1">
    <dataValidation sqref="G5:G200" showDropDown="0" showInputMessage="0" showErrorMessage="0" allowBlank="1" errorTitle="Invalid value" error="Pick a value from the list" type="list">
      <formula1>=Setup!$I$6:$I$8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Chits Dashboard</t>
        </is>
      </c>
    </row>
    <row r="2">
      <c r="A2" s="2" t="inlineStr">
        <is>
          <t>Master + installment view. Combined monthly = ₹31,250 while both sets run.</t>
        </is>
      </c>
    </row>
    <row r="4">
      <c r="A4" s="4" t="inlineStr">
        <is>
          <t>Combined monthly payment</t>
        </is>
      </c>
      <c r="B4" s="5">
        <f>SUM(Chits!F5:F500)</f>
        <v/>
      </c>
    </row>
    <row r="5">
      <c r="A5" s="4" t="inlineStr">
        <is>
          <t>Total commitment</t>
        </is>
      </c>
      <c r="B5" s="5">
        <f>SUM(Chits!J5:J500)</f>
        <v/>
      </c>
    </row>
    <row r="6">
      <c r="A6" s="4" t="inlineStr">
        <is>
          <t>Paid to date (from installments)</t>
        </is>
      </c>
      <c r="B6" s="5">
        <f>SUM(Chit_Payments!H5:H500)</f>
        <v/>
      </c>
    </row>
    <row r="7">
      <c r="A7" s="4" t="inlineStr">
        <is>
          <t>Remaining commitment</t>
        </is>
      </c>
      <c r="B7" s="6">
        <f>B5-B6</f>
        <v/>
      </c>
    </row>
    <row r="8">
      <c r="A8" s="4" t="inlineStr">
        <is>
          <t>Paid installments</t>
        </is>
      </c>
      <c r="B8" s="17">
        <f>COUNTIF(Chit_Payments!I:I,"Paid")</f>
        <v/>
      </c>
    </row>
    <row r="9">
      <c r="A9" s="4" t="inlineStr">
        <is>
          <t>Upcoming / due installments</t>
        </is>
      </c>
      <c r="B9" s="12">
        <f>COUNTIF(Chit_Payments!I:I,"Due")</f>
        <v/>
      </c>
    </row>
    <row r="11">
      <c r="A11" s="3" t="inlineStr">
        <is>
          <t>By chit set</t>
        </is>
      </c>
    </row>
    <row r="12" ht="22" customHeight="1">
      <c r="A12" s="8" t="inlineStr">
        <is>
          <t>Chit_Set</t>
        </is>
      </c>
      <c r="B12" s="8" t="inlineStr">
        <is>
          <t>Monthly</t>
        </is>
      </c>
      <c r="C12" s="8" t="inlineStr">
        <is>
          <t>Paid</t>
        </is>
      </c>
      <c r="D12" s="8" t="inlineStr">
        <is>
          <t>Remaining</t>
        </is>
      </c>
    </row>
    <row r="13">
      <c r="A13">
        <f>IF(Chits!B5="","",Chits!B5)</f>
        <v/>
      </c>
      <c r="B13" s="9">
        <f>IF(A13="","",Chits!F5)</f>
        <v/>
      </c>
      <c r="C13" s="9">
        <f>IF(A13="","",Chits!K5)</f>
        <v/>
      </c>
      <c r="D13" s="9">
        <f>IF(A13="","",Chits!L5)</f>
        <v/>
      </c>
    </row>
    <row r="14">
      <c r="A14">
        <f>IF(Chits!B6="","",Chits!B6)</f>
        <v/>
      </c>
      <c r="B14" s="9">
        <f>IF(A14="","",Chits!F6)</f>
        <v/>
      </c>
      <c r="C14" s="9">
        <f>IF(A14="","",Chits!K6)</f>
        <v/>
      </c>
      <c r="D14" s="9">
        <f>IF(A14="","",Chits!L6)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0" customWidth="1" min="14" max="14"/>
  </cols>
  <sheetData>
    <row r="1">
      <c r="A1" s="1" t="inlineStr">
        <is>
          <t>Chit master</t>
        </is>
      </c>
    </row>
    <row r="2">
      <c r="A2" s="2" t="inlineStr">
        <is>
          <t>One row per chit set. Paid_To_Date and Remaining are calculated from Chit_Payments.</t>
        </is>
      </c>
    </row>
    <row r="4" ht="22" customHeight="1">
      <c r="A4" s="8" t="inlineStr">
        <is>
          <t>Chit_Set_ID</t>
        </is>
      </c>
      <c r="B4" s="8" t="inlineStr">
        <is>
          <t>Chit_Set</t>
        </is>
      </c>
      <c r="C4" s="8" t="inlineStr">
        <is>
          <t>No_of_Chits</t>
        </is>
      </c>
      <c r="D4" s="8" t="inlineStr">
        <is>
          <t>Start_Date</t>
        </is>
      </c>
      <c r="E4" s="8" t="inlineStr">
        <is>
          <t>Tenure_Months</t>
        </is>
      </c>
      <c r="F4" s="8" t="inlineStr">
        <is>
          <t>Monthly_Payment</t>
        </is>
      </c>
      <c r="G4" s="8" t="inlineStr">
        <is>
          <t>Current_Month_No</t>
        </is>
      </c>
      <c r="H4" s="8" t="inlineStr">
        <is>
          <t>Current_Month</t>
        </is>
      </c>
      <c r="I4" s="8" t="inlineStr">
        <is>
          <t>Amount_Taken</t>
        </is>
      </c>
      <c r="J4" s="8" t="inlineStr">
        <is>
          <t>Total_Commitment</t>
        </is>
      </c>
      <c r="K4" s="8" t="inlineStr">
        <is>
          <t>Paid_To_Date</t>
        </is>
      </c>
      <c r="L4" s="8" t="inlineStr">
        <is>
          <t>Remaining</t>
        </is>
      </c>
      <c r="M4" s="8" t="inlineStr">
        <is>
          <t>Remaining_Months</t>
        </is>
      </c>
      <c r="N4" s="8" t="inlineStr">
        <is>
          <t>Notes</t>
        </is>
      </c>
    </row>
    <row r="5">
      <c r="A5" s="14" t="inlineStr">
        <is>
          <t>CHIT-SET-01</t>
        </is>
      </c>
      <c r="B5" s="14" t="inlineStr">
        <is>
          <t>3 Chits – Not Taken</t>
        </is>
      </c>
      <c r="C5" s="14" t="n">
        <v>3</v>
      </c>
      <c r="D5" s="15" t="n">
        <v>46143</v>
      </c>
      <c r="E5" s="14" t="n">
        <v>16</v>
      </c>
      <c r="F5" s="16" t="n">
        <v>18750</v>
      </c>
      <c r="G5" s="14" t="n">
        <v>5</v>
      </c>
      <c r="H5" s="15" t="n">
        <v>46266</v>
      </c>
      <c r="I5" s="14" t="inlineStr">
        <is>
          <t>No</t>
        </is>
      </c>
      <c r="J5" s="16" t="n">
        <v>300000</v>
      </c>
      <c r="K5" s="16">
        <f>SUMIF(Chit_Payments!B:B,A5,Chit_Payments!H:H)</f>
        <v/>
      </c>
      <c r="L5" s="16">
        <f>J5-K5</f>
        <v/>
      </c>
      <c r="M5" s="14">
        <f>COUNTIFS(Chit_Payments!B:B,A5,Chit_Payments!I:I,"Due")</f>
        <v/>
      </c>
      <c r="N5" s="14" t="inlineStr">
        <is>
          <t>3 chits combined. Chit amount not taken. Sep 2026 paid.</t>
        </is>
      </c>
    </row>
    <row r="6">
      <c r="A6" s="14" t="inlineStr">
        <is>
          <t>CHIT-SET-02</t>
        </is>
      </c>
      <c r="B6" s="14" t="inlineStr">
        <is>
          <t>2 Chits – Taken</t>
        </is>
      </c>
      <c r="C6" s="14" t="n">
        <v>2</v>
      </c>
      <c r="D6" s="15" t="n">
        <v>45901</v>
      </c>
      <c r="E6" s="14" t="n">
        <v>16</v>
      </c>
      <c r="F6" s="16" t="n">
        <v>12500</v>
      </c>
      <c r="G6" s="14" t="n">
        <v>13</v>
      </c>
      <c r="H6" s="15" t="n">
        <v>46266</v>
      </c>
      <c r="I6" s="14" t="inlineStr">
        <is>
          <t>Yes – Both</t>
        </is>
      </c>
      <c r="J6" s="16" t="n">
        <v>200000</v>
      </c>
      <c r="K6" s="16">
        <f>SUMIF(Chit_Payments!B:B,A6,Chit_Payments!H:H)</f>
        <v/>
      </c>
      <c r="L6" s="16">
        <f>J6-K6</f>
        <v/>
      </c>
      <c r="M6" s="14">
        <f>COUNTIFS(Chit_Payments!B:B,A6,Chit_Payments!I:I,"Due")</f>
        <v/>
      </c>
      <c r="N6" s="14" t="inlineStr">
        <is>
          <t>2 chits combined. Both chit amounts taken. Sep 2026 paid.</t>
        </is>
      </c>
    </row>
  </sheetData>
  <autoFilter ref="A4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</cols>
  <sheetData>
    <row r="1">
      <c r="A1" s="1" t="inlineStr">
        <is>
          <t>Chit installment log</t>
        </is>
      </c>
    </row>
    <row r="2">
      <c r="A2" s="2" t="inlineStr">
        <is>
          <t>Merged from former Chit1 Payments + Chit2 Payments. One row per month per set. Do not overwrite old rows.</t>
        </is>
      </c>
    </row>
    <row r="4" ht="22" customHeight="1">
      <c r="A4" s="8" t="inlineStr">
        <is>
          <t>Payment_ID</t>
        </is>
      </c>
      <c r="B4" s="8" t="inlineStr">
        <is>
          <t>Chit_Set_ID</t>
        </is>
      </c>
      <c r="C4" s="8" t="inlineStr">
        <is>
          <t>Chit_Set</t>
        </is>
      </c>
      <c r="D4" s="8" t="inlineStr">
        <is>
          <t>Month_No</t>
        </is>
      </c>
      <c r="E4" s="8" t="inlineStr">
        <is>
          <t>Due_Date</t>
        </is>
      </c>
      <c r="F4" s="8" t="inlineStr">
        <is>
          <t>Paid_Date</t>
        </is>
      </c>
      <c r="G4" s="8" t="inlineStr">
        <is>
          <t>Expected_Amount</t>
        </is>
      </c>
      <c r="H4" s="8" t="inlineStr">
        <is>
          <t>Paid_Amount</t>
        </is>
      </c>
      <c r="I4" s="8" t="inlineStr">
        <is>
          <t>Status</t>
        </is>
      </c>
      <c r="J4" s="8" t="inlineStr">
        <is>
          <t>Payment_Method</t>
        </is>
      </c>
      <c r="K4" s="8" t="inlineStr">
        <is>
          <t>Reference_UTR</t>
        </is>
      </c>
      <c r="L4" s="8" t="inlineStr">
        <is>
          <t>Notes</t>
        </is>
      </c>
    </row>
    <row r="5">
      <c r="A5" s="14" t="inlineStr">
        <is>
          <t>CHIT-SET-02-M01</t>
        </is>
      </c>
      <c r="B5" s="14" t="inlineStr">
        <is>
          <t>CHIT-SET-02</t>
        </is>
      </c>
      <c r="C5" s="14" t="inlineStr">
        <is>
          <t>2 Chits – Taken</t>
        </is>
      </c>
      <c r="D5" s="14" t="n">
        <v>1</v>
      </c>
      <c r="E5" s="15" t="n">
        <v>45910</v>
      </c>
      <c r="F5" s="15" t="n"/>
      <c r="G5" s="16" t="n">
        <v>12500</v>
      </c>
      <c r="H5" s="16" t="n">
        <v>12500</v>
      </c>
      <c r="I5" s="14" t="inlineStr">
        <is>
          <t>Paid</t>
        </is>
      </c>
      <c r="J5" s="14" t="n"/>
      <c r="K5" s="14" t="n"/>
      <c r="L5" s="14" t="inlineStr">
        <is>
          <t>Paid; actual paid date to be updated/confirmed.</t>
        </is>
      </c>
    </row>
    <row r="6">
      <c r="A6" s="14" t="inlineStr">
        <is>
          <t>CHIT-SET-02-M02</t>
        </is>
      </c>
      <c r="B6" s="14" t="inlineStr">
        <is>
          <t>CHIT-SET-02</t>
        </is>
      </c>
      <c r="C6" s="14" t="inlineStr">
        <is>
          <t>2 Chits – Taken</t>
        </is>
      </c>
      <c r="D6" s="14" t="n">
        <v>2</v>
      </c>
      <c r="E6" s="15" t="n">
        <v>45940</v>
      </c>
      <c r="F6" s="15" t="n"/>
      <c r="G6" s="16" t="n">
        <v>12500</v>
      </c>
      <c r="H6" s="16" t="n">
        <v>12500</v>
      </c>
      <c r="I6" s="14" t="inlineStr">
        <is>
          <t>Paid</t>
        </is>
      </c>
      <c r="J6" s="14" t="n"/>
      <c r="K6" s="14" t="n"/>
      <c r="L6" s="14" t="inlineStr">
        <is>
          <t>Paid; actual paid date to be updated/confirmed.</t>
        </is>
      </c>
    </row>
    <row r="7">
      <c r="A7" s="14" t="inlineStr">
        <is>
          <t>CHIT-SET-02-M03</t>
        </is>
      </c>
      <c r="B7" s="14" t="inlineStr">
        <is>
          <t>CHIT-SET-02</t>
        </is>
      </c>
      <c r="C7" s="14" t="inlineStr">
        <is>
          <t>2 Chits – Taken</t>
        </is>
      </c>
      <c r="D7" s="14" t="n">
        <v>3</v>
      </c>
      <c r="E7" s="15" t="n">
        <v>45971</v>
      </c>
      <c r="F7" s="15" t="n"/>
      <c r="G7" s="16" t="n">
        <v>12500</v>
      </c>
      <c r="H7" s="16" t="n">
        <v>12500</v>
      </c>
      <c r="I7" s="14" t="inlineStr">
        <is>
          <t>Paid</t>
        </is>
      </c>
      <c r="J7" s="14" t="n"/>
      <c r="K7" s="14" t="n"/>
      <c r="L7" s="14" t="inlineStr">
        <is>
          <t>Paid; actual paid date to be updated/confirmed.</t>
        </is>
      </c>
    </row>
    <row r="8">
      <c r="A8" s="14" t="inlineStr">
        <is>
          <t>CHIT-SET-02-M04</t>
        </is>
      </c>
      <c r="B8" s="14" t="inlineStr">
        <is>
          <t>CHIT-SET-02</t>
        </is>
      </c>
      <c r="C8" s="14" t="inlineStr">
        <is>
          <t>2 Chits – Taken</t>
        </is>
      </c>
      <c r="D8" s="14" t="n">
        <v>4</v>
      </c>
      <c r="E8" s="15" t="n">
        <v>46001</v>
      </c>
      <c r="F8" s="15" t="n"/>
      <c r="G8" s="16" t="n">
        <v>12500</v>
      </c>
      <c r="H8" s="16" t="n">
        <v>12500</v>
      </c>
      <c r="I8" s="14" t="inlineStr">
        <is>
          <t>Paid</t>
        </is>
      </c>
      <c r="J8" s="14" t="n"/>
      <c r="K8" s="14" t="n"/>
      <c r="L8" s="14" t="inlineStr">
        <is>
          <t>Paid; actual paid date to be updated/confirmed.</t>
        </is>
      </c>
    </row>
    <row r="9">
      <c r="A9" s="14" t="inlineStr">
        <is>
          <t>CHIT-SET-02-M05</t>
        </is>
      </c>
      <c r="B9" s="14" t="inlineStr">
        <is>
          <t>CHIT-SET-02</t>
        </is>
      </c>
      <c r="C9" s="14" t="inlineStr">
        <is>
          <t>2 Chits – Taken</t>
        </is>
      </c>
      <c r="D9" s="14" t="n">
        <v>5</v>
      </c>
      <c r="E9" s="15" t="n">
        <v>46032</v>
      </c>
      <c r="F9" s="15" t="n"/>
      <c r="G9" s="16" t="n">
        <v>12500</v>
      </c>
      <c r="H9" s="16" t="n">
        <v>12500</v>
      </c>
      <c r="I9" s="14" t="inlineStr">
        <is>
          <t>Paid</t>
        </is>
      </c>
      <c r="J9" s="14" t="n"/>
      <c r="K9" s="14" t="n"/>
      <c r="L9" s="14" t="inlineStr">
        <is>
          <t>Paid; actual paid date to be updated/confirmed.</t>
        </is>
      </c>
    </row>
    <row r="10">
      <c r="A10" s="14" t="inlineStr">
        <is>
          <t>CHIT-SET-02-M06</t>
        </is>
      </c>
      <c r="B10" s="14" t="inlineStr">
        <is>
          <t>CHIT-SET-02</t>
        </is>
      </c>
      <c r="C10" s="14" t="inlineStr">
        <is>
          <t>2 Chits – Taken</t>
        </is>
      </c>
      <c r="D10" s="14" t="n">
        <v>6</v>
      </c>
      <c r="E10" s="15" t="n">
        <v>46063</v>
      </c>
      <c r="F10" s="15" t="n"/>
      <c r="G10" s="16" t="n">
        <v>12500</v>
      </c>
      <c r="H10" s="16" t="n">
        <v>12500</v>
      </c>
      <c r="I10" s="14" t="inlineStr">
        <is>
          <t>Paid</t>
        </is>
      </c>
      <c r="J10" s="14" t="n"/>
      <c r="K10" s="14" t="n"/>
      <c r="L10" s="14" t="inlineStr">
        <is>
          <t>Paid; actual paid date to be updated/confirmed.</t>
        </is>
      </c>
    </row>
    <row r="11">
      <c r="A11" s="14" t="inlineStr">
        <is>
          <t>CHIT-SET-02-M07</t>
        </is>
      </c>
      <c r="B11" s="14" t="inlineStr">
        <is>
          <t>CHIT-SET-02</t>
        </is>
      </c>
      <c r="C11" s="14" t="inlineStr">
        <is>
          <t>2 Chits – Taken</t>
        </is>
      </c>
      <c r="D11" s="14" t="n">
        <v>7</v>
      </c>
      <c r="E11" s="15" t="n">
        <v>46091</v>
      </c>
      <c r="F11" s="15" t="n"/>
      <c r="G11" s="16" t="n">
        <v>12500</v>
      </c>
      <c r="H11" s="16" t="n">
        <v>12500</v>
      </c>
      <c r="I11" s="14" t="inlineStr">
        <is>
          <t>Paid</t>
        </is>
      </c>
      <c r="J11" s="14" t="n"/>
      <c r="K11" s="14" t="n"/>
      <c r="L11" s="14" t="inlineStr">
        <is>
          <t>Paid; actual paid date to be updated/confirmed.</t>
        </is>
      </c>
    </row>
    <row r="12">
      <c r="A12" s="14" t="inlineStr">
        <is>
          <t>CHIT-SET-02-M08</t>
        </is>
      </c>
      <c r="B12" s="14" t="inlineStr">
        <is>
          <t>CHIT-SET-02</t>
        </is>
      </c>
      <c r="C12" s="14" t="inlineStr">
        <is>
          <t>2 Chits – Taken</t>
        </is>
      </c>
      <c r="D12" s="14" t="n">
        <v>8</v>
      </c>
      <c r="E12" s="15" t="n">
        <v>46122</v>
      </c>
      <c r="F12" s="15" t="n"/>
      <c r="G12" s="16" t="n">
        <v>12500</v>
      </c>
      <c r="H12" s="16" t="n">
        <v>12500</v>
      </c>
      <c r="I12" s="14" t="inlineStr">
        <is>
          <t>Paid</t>
        </is>
      </c>
      <c r="J12" s="14" t="n"/>
      <c r="K12" s="14" t="n"/>
      <c r="L12" s="14" t="inlineStr">
        <is>
          <t>Paid; actual paid date to be updated/confirmed.</t>
        </is>
      </c>
    </row>
    <row r="13">
      <c r="A13" s="14" t="inlineStr">
        <is>
          <t>CHIT-SET-02-M09</t>
        </is>
      </c>
      <c r="B13" s="14" t="inlineStr">
        <is>
          <t>CHIT-SET-02</t>
        </is>
      </c>
      <c r="C13" s="14" t="inlineStr">
        <is>
          <t>2 Chits – Taken</t>
        </is>
      </c>
      <c r="D13" s="14" t="n">
        <v>9</v>
      </c>
      <c r="E13" s="15" t="n">
        <v>46152</v>
      </c>
      <c r="F13" s="15" t="n"/>
      <c r="G13" s="16" t="n">
        <v>12500</v>
      </c>
      <c r="H13" s="16" t="n">
        <v>12500</v>
      </c>
      <c r="I13" s="14" t="inlineStr">
        <is>
          <t>Paid</t>
        </is>
      </c>
      <c r="J13" s="14" t="n"/>
      <c r="K13" s="14" t="n"/>
      <c r="L13" s="14" t="inlineStr">
        <is>
          <t>Paid; actual paid date to be updated/confirmed.</t>
        </is>
      </c>
    </row>
    <row r="14">
      <c r="A14" s="14" t="inlineStr">
        <is>
          <t>CHIT-SET-02-M10</t>
        </is>
      </c>
      <c r="B14" s="14" t="inlineStr">
        <is>
          <t>CHIT-SET-02</t>
        </is>
      </c>
      <c r="C14" s="14" t="inlineStr">
        <is>
          <t>2 Chits – Taken</t>
        </is>
      </c>
      <c r="D14" s="14" t="n">
        <v>10</v>
      </c>
      <c r="E14" s="15" t="n">
        <v>46183</v>
      </c>
      <c r="F14" s="15" t="n"/>
      <c r="G14" s="16" t="n">
        <v>12500</v>
      </c>
      <c r="H14" s="16" t="n">
        <v>12500</v>
      </c>
      <c r="I14" s="14" t="inlineStr">
        <is>
          <t>Paid</t>
        </is>
      </c>
      <c r="J14" s="14" t="n"/>
      <c r="K14" s="14" t="n"/>
      <c r="L14" s="14" t="inlineStr">
        <is>
          <t>Paid; actual paid date to be updated/confirmed.</t>
        </is>
      </c>
    </row>
    <row r="15">
      <c r="A15" s="14" t="inlineStr">
        <is>
          <t>CHIT-SET-02-M11</t>
        </is>
      </c>
      <c r="B15" s="14" t="inlineStr">
        <is>
          <t>CHIT-SET-02</t>
        </is>
      </c>
      <c r="C15" s="14" t="inlineStr">
        <is>
          <t>2 Chits – Taken</t>
        </is>
      </c>
      <c r="D15" s="14" t="n">
        <v>11</v>
      </c>
      <c r="E15" s="15" t="n">
        <v>46213</v>
      </c>
      <c r="F15" s="15" t="n"/>
      <c r="G15" s="16" t="n">
        <v>12500</v>
      </c>
      <c r="H15" s="16" t="n">
        <v>12500</v>
      </c>
      <c r="I15" s="14" t="inlineStr">
        <is>
          <t>Paid</t>
        </is>
      </c>
      <c r="J15" s="14" t="n"/>
      <c r="K15" s="14" t="n"/>
      <c r="L15" s="14" t="inlineStr">
        <is>
          <t>Paid; actual paid date to be updated/confirmed.</t>
        </is>
      </c>
    </row>
    <row r="16">
      <c r="A16" s="14" t="inlineStr">
        <is>
          <t>CHIT-SET-02-M12</t>
        </is>
      </c>
      <c r="B16" s="14" t="inlineStr">
        <is>
          <t>CHIT-SET-02</t>
        </is>
      </c>
      <c r="C16" s="14" t="inlineStr">
        <is>
          <t>2 Chits – Taken</t>
        </is>
      </c>
      <c r="D16" s="14" t="n">
        <v>12</v>
      </c>
      <c r="E16" s="15" t="n">
        <v>46244</v>
      </c>
      <c r="F16" s="15" t="n"/>
      <c r="G16" s="16" t="n">
        <v>12500</v>
      </c>
      <c r="H16" s="16" t="n">
        <v>12500</v>
      </c>
      <c r="I16" s="14" t="inlineStr">
        <is>
          <t>Paid</t>
        </is>
      </c>
      <c r="J16" s="14" t="n"/>
      <c r="K16" s="14" t="n"/>
      <c r="L16" s="14" t="inlineStr">
        <is>
          <t>Paid; actual paid date to be updated/confirmed.</t>
        </is>
      </c>
    </row>
    <row r="17">
      <c r="A17" s="14" t="inlineStr">
        <is>
          <t>CHIT-SET-02-M13</t>
        </is>
      </c>
      <c r="B17" s="14" t="inlineStr">
        <is>
          <t>CHIT-SET-02</t>
        </is>
      </c>
      <c r="C17" s="14" t="inlineStr">
        <is>
          <t>2 Chits – Taken</t>
        </is>
      </c>
      <c r="D17" s="14" t="n">
        <v>13</v>
      </c>
      <c r="E17" s="15" t="n">
        <v>46275</v>
      </c>
      <c r="F17" s="15" t="n"/>
      <c r="G17" s="16" t="n">
        <v>12500</v>
      </c>
      <c r="H17" s="16" t="n">
        <v>12500</v>
      </c>
      <c r="I17" s="14" t="inlineStr">
        <is>
          <t>Paid</t>
        </is>
      </c>
      <c r="J17" s="14" t="n"/>
      <c r="K17" s="14" t="n"/>
      <c r="L17" s="14" t="inlineStr">
        <is>
          <t>Paid; actual paid date to be updated/confirmed.</t>
        </is>
      </c>
    </row>
    <row r="18">
      <c r="A18" s="14" t="inlineStr">
        <is>
          <t>CHIT-SET-02-M14</t>
        </is>
      </c>
      <c r="B18" s="14" t="inlineStr">
        <is>
          <t>CHIT-SET-02</t>
        </is>
      </c>
      <c r="C18" s="14" t="inlineStr">
        <is>
          <t>2 Chits – Taken</t>
        </is>
      </c>
      <c r="D18" s="14" t="n">
        <v>14</v>
      </c>
      <c r="E18" s="15" t="n"/>
      <c r="F18" s="15" t="n"/>
      <c r="G18" s="16" t="n"/>
      <c r="H18" s="16" t="n"/>
      <c r="I18" s="14" t="inlineStr">
        <is>
          <t>Due</t>
        </is>
      </c>
      <c r="J18" s="14" t="n"/>
      <c r="K18" s="14" t="n"/>
      <c r="L18" s="14" t="n"/>
    </row>
    <row r="19">
      <c r="A19" s="14" t="inlineStr">
        <is>
          <t>CHIT-SET-02-M15</t>
        </is>
      </c>
      <c r="B19" s="14" t="inlineStr">
        <is>
          <t>CHIT-SET-02</t>
        </is>
      </c>
      <c r="C19" s="14" t="inlineStr">
        <is>
          <t>2 Chits – Taken</t>
        </is>
      </c>
      <c r="D19" s="14" t="n">
        <v>15</v>
      </c>
      <c r="E19" s="15" t="n"/>
      <c r="F19" s="15" t="n"/>
      <c r="G19" s="16" t="n"/>
      <c r="H19" s="16" t="n"/>
      <c r="I19" s="14" t="inlineStr">
        <is>
          <t>Due</t>
        </is>
      </c>
      <c r="J19" s="14" t="n"/>
      <c r="K19" s="14" t="n"/>
      <c r="L19" s="14" t="n"/>
    </row>
    <row r="20">
      <c r="A20" s="14" t="inlineStr">
        <is>
          <t>CHIT-SET-02-M16</t>
        </is>
      </c>
      <c r="B20" s="14" t="inlineStr">
        <is>
          <t>CHIT-SET-02</t>
        </is>
      </c>
      <c r="C20" s="14" t="inlineStr">
        <is>
          <t>2 Chits – Taken</t>
        </is>
      </c>
      <c r="D20" s="14" t="n">
        <v>16</v>
      </c>
      <c r="E20" s="15" t="n"/>
      <c r="F20" s="15" t="n"/>
      <c r="G20" s="16" t="n"/>
      <c r="H20" s="16" t="n"/>
      <c r="I20" s="14" t="inlineStr">
        <is>
          <t>Due</t>
        </is>
      </c>
      <c r="J20" s="14" t="n"/>
      <c r="K20" s="14" t="n"/>
      <c r="L20" s="14" t="n"/>
    </row>
    <row r="21">
      <c r="A21" s="14" t="inlineStr">
        <is>
          <t>CHIT-SET-01-M01</t>
        </is>
      </c>
      <c r="B21" s="14" t="inlineStr">
        <is>
          <t>CHIT-SET-01</t>
        </is>
      </c>
      <c r="C21" s="14" t="inlineStr">
        <is>
          <t>3 Chits – Not Taken</t>
        </is>
      </c>
      <c r="D21" s="14" t="n">
        <v>1</v>
      </c>
      <c r="E21" s="15" t="n">
        <v>46152</v>
      </c>
      <c r="F21" s="15" t="n"/>
      <c r="G21" s="16" t="n">
        <v>18750</v>
      </c>
      <c r="H21" s="16" t="n">
        <v>18750</v>
      </c>
      <c r="I21" s="14" t="inlineStr">
        <is>
          <t>Paid</t>
        </is>
      </c>
      <c r="J21" s="14" t="n"/>
      <c r="K21" s="14" t="n"/>
      <c r="L21" s="14" t="inlineStr">
        <is>
          <t>Paid; actual paid date to be updated/confirmed.</t>
        </is>
      </c>
    </row>
    <row r="22">
      <c r="A22" s="14" t="inlineStr">
        <is>
          <t>CHIT-SET-01-M02</t>
        </is>
      </c>
      <c r="B22" s="14" t="inlineStr">
        <is>
          <t>CHIT-SET-01</t>
        </is>
      </c>
      <c r="C22" s="14" t="inlineStr">
        <is>
          <t>3 Chits – Not Taken</t>
        </is>
      </c>
      <c r="D22" s="14" t="n">
        <v>2</v>
      </c>
      <c r="E22" s="15" t="n">
        <v>46183</v>
      </c>
      <c r="F22" s="15" t="n"/>
      <c r="G22" s="16" t="n">
        <v>18750</v>
      </c>
      <c r="H22" s="16" t="n">
        <v>18750</v>
      </c>
      <c r="I22" s="14" t="inlineStr">
        <is>
          <t>Paid</t>
        </is>
      </c>
      <c r="J22" s="14" t="n"/>
      <c r="K22" s="14" t="n"/>
      <c r="L22" s="14" t="inlineStr">
        <is>
          <t>Paid; actual paid date to be updated/confirmed.</t>
        </is>
      </c>
    </row>
    <row r="23">
      <c r="A23" s="14" t="inlineStr">
        <is>
          <t>CHIT-SET-01-M03</t>
        </is>
      </c>
      <c r="B23" s="14" t="inlineStr">
        <is>
          <t>CHIT-SET-01</t>
        </is>
      </c>
      <c r="C23" s="14" t="inlineStr">
        <is>
          <t>3 Chits – Not Taken</t>
        </is>
      </c>
      <c r="D23" s="14" t="n">
        <v>3</v>
      </c>
      <c r="E23" s="15" t="n">
        <v>46213</v>
      </c>
      <c r="F23" s="15" t="n"/>
      <c r="G23" s="16" t="n">
        <v>18750</v>
      </c>
      <c r="H23" s="16" t="n">
        <v>18750</v>
      </c>
      <c r="I23" s="14" t="inlineStr">
        <is>
          <t>Paid</t>
        </is>
      </c>
      <c r="J23" s="14" t="n"/>
      <c r="K23" s="14" t="n"/>
      <c r="L23" s="14" t="inlineStr">
        <is>
          <t>Paid; actual paid date to be updated/confirmed.</t>
        </is>
      </c>
    </row>
    <row r="24">
      <c r="A24" s="14" t="inlineStr">
        <is>
          <t>CHIT-SET-01-M04</t>
        </is>
      </c>
      <c r="B24" s="14" t="inlineStr">
        <is>
          <t>CHIT-SET-01</t>
        </is>
      </c>
      <c r="C24" s="14" t="inlineStr">
        <is>
          <t>3 Chits – Not Taken</t>
        </is>
      </c>
      <c r="D24" s="14" t="n">
        <v>4</v>
      </c>
      <c r="E24" s="15" t="n">
        <v>46244</v>
      </c>
      <c r="F24" s="15" t="n"/>
      <c r="G24" s="16" t="n">
        <v>18750</v>
      </c>
      <c r="H24" s="16" t="n">
        <v>18750</v>
      </c>
      <c r="I24" s="14" t="inlineStr">
        <is>
          <t>Paid</t>
        </is>
      </c>
      <c r="J24" s="14" t="n"/>
      <c r="K24" s="14" t="n"/>
      <c r="L24" s="14" t="inlineStr">
        <is>
          <t>Paid; actual paid date to be updated/confirmed.</t>
        </is>
      </c>
    </row>
    <row r="25">
      <c r="A25" s="14" t="inlineStr">
        <is>
          <t>CHIT-SET-01-M05</t>
        </is>
      </c>
      <c r="B25" s="14" t="inlineStr">
        <is>
          <t>CHIT-SET-01</t>
        </is>
      </c>
      <c r="C25" s="14" t="inlineStr">
        <is>
          <t>3 Chits – Not Taken</t>
        </is>
      </c>
      <c r="D25" s="14" t="n">
        <v>5</v>
      </c>
      <c r="E25" s="15" t="n">
        <v>46275</v>
      </c>
      <c r="F25" s="15" t="n"/>
      <c r="G25" s="16" t="n">
        <v>18750</v>
      </c>
      <c r="H25" s="16" t="n">
        <v>18750</v>
      </c>
      <c r="I25" s="14" t="inlineStr">
        <is>
          <t>Paid</t>
        </is>
      </c>
      <c r="J25" s="14" t="n"/>
      <c r="K25" s="14" t="n"/>
      <c r="L25" s="14" t="inlineStr">
        <is>
          <t>Paid; actual paid date to be updated/confirmed.</t>
        </is>
      </c>
    </row>
    <row r="26">
      <c r="A26" s="14" t="inlineStr">
        <is>
          <t>CHIT-SET-01-M07</t>
        </is>
      </c>
      <c r="B26" s="14" t="inlineStr">
        <is>
          <t>CHIT-SET-01</t>
        </is>
      </c>
      <c r="C26" s="14" t="inlineStr">
        <is>
          <t>3 Chits – Not Taken</t>
        </is>
      </c>
      <c r="D26" s="14" t="n"/>
      <c r="E26" s="15" t="n"/>
      <c r="F26" s="15" t="n"/>
      <c r="G26" s="16" t="n"/>
      <c r="H26" s="16" t="n"/>
      <c r="I26" s="14" t="inlineStr">
        <is>
          <t>Due</t>
        </is>
      </c>
      <c r="J26" s="14" t="n"/>
      <c r="K26" s="14" t="n"/>
      <c r="L26" s="14" t="n"/>
    </row>
    <row r="27">
      <c r="A27" s="14" t="inlineStr">
        <is>
          <t>CHIT-SET-01-M08</t>
        </is>
      </c>
      <c r="B27" s="14" t="inlineStr">
        <is>
          <t>CHIT-SET-01</t>
        </is>
      </c>
      <c r="C27" s="14" t="inlineStr">
        <is>
          <t>3 Chits – Not Taken</t>
        </is>
      </c>
      <c r="D27" s="14" t="n"/>
      <c r="E27" s="15" t="n"/>
      <c r="F27" s="15" t="n"/>
      <c r="G27" s="16" t="n"/>
      <c r="H27" s="16" t="n"/>
      <c r="I27" s="14" t="inlineStr">
        <is>
          <t>Due</t>
        </is>
      </c>
      <c r="J27" s="14" t="n"/>
      <c r="K27" s="14" t="n"/>
      <c r="L27" s="14" t="n"/>
    </row>
    <row r="28">
      <c r="A28" s="14" t="inlineStr">
        <is>
          <t>CHIT-SET-01-M09</t>
        </is>
      </c>
      <c r="B28" s="14" t="inlineStr">
        <is>
          <t>CHIT-SET-01</t>
        </is>
      </c>
      <c r="C28" s="14" t="inlineStr">
        <is>
          <t>3 Chits – Not Taken</t>
        </is>
      </c>
      <c r="D28" s="14" t="n"/>
      <c r="E28" s="15" t="n"/>
      <c r="F28" s="15" t="n"/>
      <c r="G28" s="16" t="n"/>
      <c r="H28" s="16" t="n"/>
      <c r="I28" s="14" t="inlineStr">
        <is>
          <t>Due</t>
        </is>
      </c>
      <c r="J28" s="14" t="n"/>
      <c r="K28" s="14" t="n"/>
      <c r="L28" s="14" t="n"/>
    </row>
    <row r="29">
      <c r="A29" s="14" t="inlineStr">
        <is>
          <t>CHIT-SET-01-M10</t>
        </is>
      </c>
      <c r="B29" s="14" t="inlineStr">
        <is>
          <t>CHIT-SET-01</t>
        </is>
      </c>
      <c r="C29" s="14" t="inlineStr">
        <is>
          <t>3 Chits – Not Taken</t>
        </is>
      </c>
      <c r="D29" s="14" t="n"/>
      <c r="E29" s="15" t="n"/>
      <c r="F29" s="15" t="n"/>
      <c r="G29" s="16" t="n"/>
      <c r="H29" s="16" t="n"/>
      <c r="I29" s="14" t="inlineStr">
        <is>
          <t>Due</t>
        </is>
      </c>
      <c r="J29" s="14" t="n"/>
      <c r="K29" s="14" t="n"/>
      <c r="L29" s="14" t="n"/>
    </row>
    <row r="30">
      <c r="A30" s="14" t="inlineStr">
        <is>
          <t>CHIT-SET-01-M11</t>
        </is>
      </c>
      <c r="B30" s="14" t="inlineStr">
        <is>
          <t>CHIT-SET-01</t>
        </is>
      </c>
      <c r="C30" s="14" t="inlineStr">
        <is>
          <t>3 Chits – Not Taken</t>
        </is>
      </c>
      <c r="D30" s="14" t="n"/>
      <c r="E30" s="15" t="n"/>
      <c r="F30" s="15" t="n"/>
      <c r="G30" s="16" t="n"/>
      <c r="H30" s="16" t="n"/>
      <c r="I30" s="14" t="inlineStr">
        <is>
          <t>Due</t>
        </is>
      </c>
      <c r="J30" s="14" t="n"/>
      <c r="K30" s="14" t="n"/>
      <c r="L30" s="14" t="n"/>
    </row>
    <row r="31">
      <c r="A31" s="14" t="inlineStr">
        <is>
          <t>CHIT-SET-01-M12</t>
        </is>
      </c>
      <c r="B31" s="14" t="inlineStr">
        <is>
          <t>CHIT-SET-01</t>
        </is>
      </c>
      <c r="C31" s="14" t="inlineStr">
        <is>
          <t>3 Chits – Not Taken</t>
        </is>
      </c>
      <c r="D31" s="14" t="n"/>
      <c r="E31" s="15" t="n"/>
      <c r="F31" s="15" t="n"/>
      <c r="G31" s="16" t="n"/>
      <c r="H31" s="16" t="n"/>
      <c r="I31" s="14" t="inlineStr">
        <is>
          <t>Due</t>
        </is>
      </c>
      <c r="J31" s="14" t="n"/>
      <c r="K31" s="14" t="n"/>
      <c r="L31" s="14" t="n"/>
    </row>
    <row r="32">
      <c r="A32" s="14" t="inlineStr">
        <is>
          <t>CHIT-SET-01-M13</t>
        </is>
      </c>
      <c r="B32" s="14" t="inlineStr">
        <is>
          <t>CHIT-SET-01</t>
        </is>
      </c>
      <c r="C32" s="14" t="inlineStr">
        <is>
          <t>3 Chits – Not Taken</t>
        </is>
      </c>
      <c r="D32" s="14" t="n"/>
      <c r="E32" s="15" t="n"/>
      <c r="F32" s="15" t="n"/>
      <c r="G32" s="16" t="n"/>
      <c r="H32" s="16" t="n"/>
      <c r="I32" s="14" t="inlineStr">
        <is>
          <t>Due</t>
        </is>
      </c>
      <c r="J32" s="14" t="n"/>
      <c r="K32" s="14" t="n"/>
      <c r="L32" s="14" t="n"/>
    </row>
    <row r="33">
      <c r="A33" s="14" t="inlineStr">
        <is>
          <t>CHIT-SET-01-M14</t>
        </is>
      </c>
      <c r="B33" s="14" t="inlineStr">
        <is>
          <t>CHIT-SET-01</t>
        </is>
      </c>
      <c r="C33" s="14" t="inlineStr">
        <is>
          <t>3 Chits – Not Taken</t>
        </is>
      </c>
      <c r="D33" s="14" t="n"/>
      <c r="E33" s="15" t="n"/>
      <c r="F33" s="15" t="n"/>
      <c r="G33" s="16" t="n"/>
      <c r="H33" s="16" t="n"/>
      <c r="I33" s="14" t="inlineStr">
        <is>
          <t>Due</t>
        </is>
      </c>
      <c r="J33" s="14" t="n"/>
      <c r="K33" s="14" t="n"/>
      <c r="L33" s="14" t="n"/>
    </row>
    <row r="34">
      <c r="A34" s="14" t="inlineStr">
        <is>
          <t>CHIT-SET-01-M15</t>
        </is>
      </c>
      <c r="B34" s="14" t="inlineStr">
        <is>
          <t>CHIT-SET-01</t>
        </is>
      </c>
      <c r="C34" s="14" t="inlineStr">
        <is>
          <t>3 Chits – Not Taken</t>
        </is>
      </c>
      <c r="D34" s="14" t="n"/>
      <c r="E34" s="15" t="n"/>
      <c r="F34" s="15" t="n"/>
      <c r="G34" s="16" t="n"/>
      <c r="H34" s="16" t="n"/>
      <c r="I34" s="14" t="inlineStr">
        <is>
          <t>Due</t>
        </is>
      </c>
      <c r="J34" s="14" t="n"/>
      <c r="K34" s="14" t="n"/>
      <c r="L34" s="14" t="n"/>
    </row>
    <row r="35">
      <c r="A35" s="14" t="inlineStr">
        <is>
          <t>CHIT-SET-01-M16</t>
        </is>
      </c>
      <c r="B35" s="14" t="inlineStr">
        <is>
          <t>CHIT-SET-01</t>
        </is>
      </c>
      <c r="C35" s="14" t="inlineStr">
        <is>
          <t>3 Chits – Not Taken</t>
        </is>
      </c>
      <c r="D35" s="14" t="n"/>
      <c r="E35" s="15" t="n"/>
      <c r="F35" s="15" t="n"/>
      <c r="G35" s="16" t="n"/>
      <c r="H35" s="16" t="n"/>
      <c r="I35" s="14" t="inlineStr">
        <is>
          <t>Due</t>
        </is>
      </c>
      <c r="J35" s="14" t="n"/>
      <c r="K35" s="14" t="n"/>
      <c r="L35" s="14" t="n"/>
    </row>
    <row r="36">
      <c r="A36" s="14" t="inlineStr">
        <is>
          <t>CHIT-SET-01-M17</t>
        </is>
      </c>
      <c r="B36" s="14" t="inlineStr">
        <is>
          <t>CHIT-SET-01</t>
        </is>
      </c>
      <c r="C36" s="14" t="inlineStr">
        <is>
          <t>3 Chits – Not Taken</t>
        </is>
      </c>
      <c r="D36" s="14" t="n"/>
      <c r="E36" s="15" t="n"/>
      <c r="F36" s="15" t="n"/>
      <c r="G36" s="16" t="n"/>
      <c r="H36" s="16" t="n"/>
      <c r="I36" s="14" t="inlineStr">
        <is>
          <t>Due</t>
        </is>
      </c>
      <c r="J36" s="14" t="n"/>
      <c r="K36" s="14" t="n"/>
      <c r="L36" s="14" t="n"/>
    </row>
  </sheetData>
  <autoFilter ref="A4:L36"/>
  <dataValidations count="2">
    <dataValidation sqref="I5:I500" showDropDown="0" showInputMessage="0" showErrorMessage="0" allowBlank="1" errorTitle="Invalid value" error="Pick a value from the list" type="list">
      <formula1>=Setup!$A$6:$A$14</formula1>
    </dataValidation>
    <dataValidation sqref="J5:J500" showDropDown="0" showInputMessage="0" showErrorMessage="0" allowBlank="1" errorTitle="Invalid value" error="Pick a value from the list" type="list">
      <formula1>=Setup!$C$6:$C$11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Transactions Dashboard</t>
        </is>
      </c>
    </row>
    <row r="2">
      <c r="A2" s="2" t="inlineStr">
        <is>
          <t>Friend ledger health check.</t>
        </is>
      </c>
    </row>
    <row r="4">
      <c r="A4" s="4" t="inlineStr">
        <is>
          <t>Total credit received</t>
        </is>
      </c>
      <c r="B4" s="5">
        <f>SUM(Transactions!E5:E500)</f>
        <v/>
      </c>
    </row>
    <row r="5">
      <c r="A5" s="4" t="inlineStr">
        <is>
          <t>Total debit given</t>
        </is>
      </c>
      <c r="B5" s="6">
        <f>SUM(Transactions!F5:F500)</f>
        <v/>
      </c>
    </row>
    <row r="6">
      <c r="A6" s="4" t="inlineStr">
        <is>
          <t>Current balance (positive = net still with the other party)</t>
        </is>
      </c>
      <c r="B6" s="7">
        <f>B4-B5</f>
        <v/>
      </c>
    </row>
    <row r="7">
      <c r="A7" s="4" t="inlineStr">
        <is>
          <t>Transaction count</t>
        </is>
      </c>
      <c r="B7" s="17">
        <f>COUNTA(Transactions!A5:A500)</f>
        <v/>
      </c>
    </row>
    <row r="10">
      <c r="A10" s="2" t="inlineStr">
        <is>
          <t>Credit vs debit trend charts are on Monthly_Summary (same sheet as the month table).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Friend / money ledger</t>
        </is>
      </c>
    </row>
    <row r="2">
      <c r="A2" s="2" t="inlineStr">
        <is>
          <t>Credit = money received. Debit = money given. Dates are real date values (month-only entries used 1st of that month).</t>
        </is>
      </c>
    </row>
    <row r="4" ht="22" customHeight="1">
      <c r="A4" s="8" t="inlineStr">
        <is>
          <t>Transaction_ID</t>
        </is>
      </c>
      <c r="B4" s="8" t="inlineStr">
        <is>
          <t>Date</t>
        </is>
      </c>
      <c r="C4" s="8" t="inlineStr">
        <is>
          <t>Person</t>
        </is>
      </c>
      <c r="D4" s="8" t="inlineStr">
        <is>
          <t>Description</t>
        </is>
      </c>
      <c r="E4" s="8" t="inlineStr">
        <is>
          <t>Credit</t>
        </is>
      </c>
      <c r="F4" s="8" t="inlineStr">
        <is>
          <t>Debit</t>
        </is>
      </c>
      <c r="G4" s="8" t="inlineStr">
        <is>
          <t>Running_Balance</t>
        </is>
      </c>
      <c r="H4" s="8" t="inlineStr">
        <is>
          <t>Payment_Method</t>
        </is>
      </c>
      <c r="I4" s="8" t="inlineStr">
        <is>
          <t>Reference_UTR</t>
        </is>
      </c>
      <c r="J4" s="8" t="inlineStr">
        <is>
          <t>Notes</t>
        </is>
      </c>
    </row>
    <row r="5">
      <c r="A5" s="14" t="inlineStr">
        <is>
          <t>TXN001</t>
        </is>
      </c>
      <c r="B5" s="15" t="n">
        <v>44999</v>
      </c>
      <c r="C5" s="14" t="inlineStr">
        <is>
          <t>Friend</t>
        </is>
      </c>
      <c r="D5" s="14" t="inlineStr">
        <is>
          <t>Initial amount received</t>
        </is>
      </c>
      <c r="E5" s="16" t="n">
        <v>645000</v>
      </c>
      <c r="F5" s="16" t="n">
        <v>0</v>
      </c>
      <c r="G5" s="16">
        <f>SUM($E$5:E5)-SUM($F$5:F5)</f>
        <v/>
      </c>
      <c r="H5" s="14" t="inlineStr">
        <is>
          <t>Bank/UPI</t>
        </is>
      </c>
      <c r="I5" s="14" t="n"/>
      <c r="J5" s="14" t="n"/>
    </row>
    <row r="6">
      <c r="A6" s="14" t="inlineStr">
        <is>
          <t>TXN002</t>
        </is>
      </c>
      <c r="B6" s="15" t="n">
        <v>45049</v>
      </c>
      <c r="C6" s="14" t="inlineStr">
        <is>
          <t>Friend</t>
        </is>
      </c>
      <c r="D6" s="14" t="inlineStr">
        <is>
          <t>Amount given</t>
        </is>
      </c>
      <c r="E6" s="16" t="n">
        <v>0</v>
      </c>
      <c r="F6" s="16" t="n">
        <v>40000</v>
      </c>
      <c r="G6" s="16">
        <f>SUM($E$5:E6)-SUM($F$5:F6)</f>
        <v/>
      </c>
      <c r="H6" s="14" t="inlineStr">
        <is>
          <t>Bank/UPI</t>
        </is>
      </c>
      <c r="I6" s="14" t="n"/>
      <c r="J6" s="14" t="n"/>
    </row>
    <row r="7">
      <c r="A7" s="14" t="inlineStr">
        <is>
          <t>TXN003</t>
        </is>
      </c>
      <c r="B7" s="15" t="n">
        <v>45050</v>
      </c>
      <c r="C7" s="14" t="inlineStr">
        <is>
          <t>Friend</t>
        </is>
      </c>
      <c r="D7" s="14" t="inlineStr">
        <is>
          <t>Amount given</t>
        </is>
      </c>
      <c r="E7" s="16" t="n">
        <v>0</v>
      </c>
      <c r="F7" s="16" t="n">
        <v>30000</v>
      </c>
      <c r="G7" s="16">
        <f>SUM($E$5:E7)-SUM($F$5:F7)</f>
        <v/>
      </c>
      <c r="H7" s="14" t="inlineStr">
        <is>
          <t>Bank/UPI</t>
        </is>
      </c>
      <c r="I7" s="14" t="n"/>
      <c r="J7" s="14" t="n"/>
    </row>
    <row r="8">
      <c r="A8" s="14" t="inlineStr">
        <is>
          <t>TXN004</t>
        </is>
      </c>
      <c r="B8" s="15" t="n">
        <v>45121</v>
      </c>
      <c r="C8" s="14" t="inlineStr">
        <is>
          <t>Friend</t>
        </is>
      </c>
      <c r="D8" s="14" t="inlineStr">
        <is>
          <t>Repayment received</t>
        </is>
      </c>
      <c r="E8" s="16" t="n">
        <v>10000</v>
      </c>
      <c r="F8" s="16" t="n">
        <v>0</v>
      </c>
      <c r="G8" s="16">
        <f>SUM($E$5:E8)-SUM($F$5:F8)</f>
        <v/>
      </c>
      <c r="H8" s="14" t="inlineStr">
        <is>
          <t>Bank/UPI</t>
        </is>
      </c>
      <c r="I8" s="14" t="n"/>
      <c r="J8" s="14" t="n"/>
    </row>
    <row r="9">
      <c r="A9" s="14" t="inlineStr">
        <is>
          <t>TXN005</t>
        </is>
      </c>
      <c r="B9" s="15" t="n">
        <v>45139</v>
      </c>
      <c r="C9" s="14" t="inlineStr">
        <is>
          <t>Friend</t>
        </is>
      </c>
      <c r="D9" s="14" t="inlineStr">
        <is>
          <t>Repayment received</t>
        </is>
      </c>
      <c r="E9" s="16" t="n">
        <v>30000</v>
      </c>
      <c r="F9" s="16" t="n">
        <v>0</v>
      </c>
      <c r="G9" s="16">
        <f>SUM($E$5:E9)-SUM($F$5:F9)</f>
        <v/>
      </c>
      <c r="H9" s="14" t="inlineStr">
        <is>
          <t>Bank/UPI</t>
        </is>
      </c>
      <c r="I9" s="14" t="n"/>
      <c r="J9" s="14" t="n"/>
    </row>
    <row r="10">
      <c r="A10" s="14" t="inlineStr">
        <is>
          <t>TXN006</t>
        </is>
      </c>
      <c r="B10" s="15" t="n">
        <v>45139</v>
      </c>
      <c r="C10" s="14" t="inlineStr">
        <is>
          <t>Friend</t>
        </is>
      </c>
      <c r="D10" s="14" t="inlineStr">
        <is>
          <t>Repayment received</t>
        </is>
      </c>
      <c r="E10" s="16" t="n">
        <v>5000</v>
      </c>
      <c r="F10" s="16" t="n">
        <v>5000</v>
      </c>
      <c r="G10" s="16">
        <f>SUM($E$5:E10)-SUM($F$5:F10)</f>
        <v/>
      </c>
      <c r="H10" s="14" t="inlineStr">
        <is>
          <t>Bank/UPI</t>
        </is>
      </c>
      <c r="I10" s="14" t="n"/>
      <c r="J10" s="14" t="inlineStr">
        <is>
          <t>adjusted amount</t>
        </is>
      </c>
    </row>
    <row r="11">
      <c r="A11" s="14" t="inlineStr">
        <is>
          <t>TXN007</t>
        </is>
      </c>
      <c r="B11" s="15" t="n">
        <v>45139</v>
      </c>
      <c r="C11" s="14" t="inlineStr">
        <is>
          <t>Friend</t>
        </is>
      </c>
      <c r="D11" s="14" t="inlineStr">
        <is>
          <t>Repayment received</t>
        </is>
      </c>
      <c r="E11" s="16" t="n">
        <v>2000</v>
      </c>
      <c r="F11" s="16" t="n">
        <v>2000</v>
      </c>
      <c r="G11" s="16">
        <f>SUM($E$5:E11)-SUM($F$5:F11)</f>
        <v/>
      </c>
      <c r="H11" s="14" t="inlineStr">
        <is>
          <t>Bank/UPI</t>
        </is>
      </c>
      <c r="I11" s="14" t="n"/>
      <c r="J11" s="14" t="inlineStr">
        <is>
          <t>adjusted amount</t>
        </is>
      </c>
    </row>
    <row r="12">
      <c r="A12" s="14" t="inlineStr">
        <is>
          <t>TXN008</t>
        </is>
      </c>
      <c r="B12" s="15" t="n">
        <v>45159</v>
      </c>
      <c r="C12" s="14" t="inlineStr">
        <is>
          <t>Friend</t>
        </is>
      </c>
      <c r="D12" s="14" t="inlineStr">
        <is>
          <t>Repayment received</t>
        </is>
      </c>
      <c r="E12" s="16" t="n">
        <v>5000</v>
      </c>
      <c r="F12" s="16" t="n">
        <v>5000</v>
      </c>
      <c r="G12" s="16">
        <f>SUM($E$5:E12)-SUM($F$5:F12)</f>
        <v/>
      </c>
      <c r="H12" s="14" t="inlineStr">
        <is>
          <t>Bank/UPI</t>
        </is>
      </c>
      <c r="I12" s="14" t="n"/>
      <c r="J12" s="14" t="inlineStr">
        <is>
          <t>adjusted amount</t>
        </is>
      </c>
    </row>
    <row r="13">
      <c r="A13" s="14" t="inlineStr">
        <is>
          <t>TXN009</t>
        </is>
      </c>
      <c r="B13" s="15" t="n">
        <v>45175</v>
      </c>
      <c r="C13" s="14" t="inlineStr">
        <is>
          <t>Friend</t>
        </is>
      </c>
      <c r="D13" s="14" t="inlineStr">
        <is>
          <t>Repayment received</t>
        </is>
      </c>
      <c r="E13" s="16" t="n">
        <v>10000</v>
      </c>
      <c r="F13" s="16" t="n">
        <v>10000</v>
      </c>
      <c r="G13" s="16">
        <f>SUM($E$5:E13)-SUM($F$5:F13)</f>
        <v/>
      </c>
      <c r="H13" s="14" t="inlineStr">
        <is>
          <t>Bank/UPI</t>
        </is>
      </c>
      <c r="I13" s="14" t="n"/>
      <c r="J13" s="14" t="inlineStr">
        <is>
          <t>adjusted amount</t>
        </is>
      </c>
    </row>
    <row r="14">
      <c r="A14" s="14" t="inlineStr">
        <is>
          <t>TXN010</t>
        </is>
      </c>
      <c r="B14" s="15" t="n">
        <v>45175</v>
      </c>
      <c r="C14" s="14" t="inlineStr">
        <is>
          <t>Friend</t>
        </is>
      </c>
      <c r="D14" s="14" t="inlineStr">
        <is>
          <t>Repayment received</t>
        </is>
      </c>
      <c r="E14" s="16" t="n">
        <v>5000</v>
      </c>
      <c r="F14" s="16" t="n">
        <v>5000</v>
      </c>
      <c r="G14" s="16">
        <f>SUM($E$5:E14)-SUM($F$5:F14)</f>
        <v/>
      </c>
      <c r="H14" s="14" t="inlineStr">
        <is>
          <t>Bank/UPI</t>
        </is>
      </c>
      <c r="I14" s="14" t="n"/>
      <c r="J14" s="14" t="inlineStr">
        <is>
          <t>adjusted amount</t>
        </is>
      </c>
    </row>
    <row r="15">
      <c r="A15" s="14" t="inlineStr">
        <is>
          <t>TXN011</t>
        </is>
      </c>
      <c r="B15" s="15" t="n">
        <v>45178</v>
      </c>
      <c r="C15" s="14" t="inlineStr">
        <is>
          <t>Friend</t>
        </is>
      </c>
      <c r="D15" s="14" t="inlineStr">
        <is>
          <t>Repayment received</t>
        </is>
      </c>
      <c r="E15" s="16" t="n">
        <v>15000</v>
      </c>
      <c r="F15" s="16" t="n">
        <v>15000</v>
      </c>
      <c r="G15" s="16">
        <f>SUM($E$5:E15)-SUM($F$5:F15)</f>
        <v/>
      </c>
      <c r="H15" s="14" t="inlineStr">
        <is>
          <t>Bank/UPI</t>
        </is>
      </c>
      <c r="I15" s="14" t="n"/>
      <c r="J15" s="14" t="inlineStr">
        <is>
          <t>adjusted amount</t>
        </is>
      </c>
    </row>
    <row r="16">
      <c r="A16" s="14" t="inlineStr">
        <is>
          <t>TXN012</t>
        </is>
      </c>
      <c r="B16" s="15" t="n">
        <v>45200</v>
      </c>
      <c r="C16" s="14" t="inlineStr">
        <is>
          <t>Friend</t>
        </is>
      </c>
      <c r="D16" s="14" t="inlineStr">
        <is>
          <t>Repayment received</t>
        </is>
      </c>
      <c r="E16" s="16" t="n">
        <v>5000</v>
      </c>
      <c r="F16" s="16" t="n">
        <v>5000</v>
      </c>
      <c r="G16" s="16">
        <f>SUM($E$5:E16)-SUM($F$5:F16)</f>
        <v/>
      </c>
      <c r="H16" s="14" t="inlineStr">
        <is>
          <t>Bank/UPI</t>
        </is>
      </c>
      <c r="I16" s="14" t="n"/>
      <c r="J16" s="14" t="inlineStr">
        <is>
          <t>adjusted amount</t>
        </is>
      </c>
    </row>
    <row r="17">
      <c r="A17" s="14" t="inlineStr">
        <is>
          <t>TXN013</t>
        </is>
      </c>
      <c r="B17" s="15" t="n">
        <v>45201</v>
      </c>
      <c r="C17" s="14" t="inlineStr">
        <is>
          <t>Friend</t>
        </is>
      </c>
      <c r="D17" s="14" t="inlineStr">
        <is>
          <t>Repayment received</t>
        </is>
      </c>
      <c r="E17" s="16" t="n">
        <v>15000</v>
      </c>
      <c r="F17" s="16" t="n">
        <v>15000</v>
      </c>
      <c r="G17" s="16">
        <f>SUM($E$5:E17)-SUM($F$5:F17)</f>
        <v/>
      </c>
      <c r="H17" s="14" t="inlineStr">
        <is>
          <t>Bank/UPI</t>
        </is>
      </c>
      <c r="I17" s="14" t="n"/>
      <c r="J17" s="14" t="inlineStr">
        <is>
          <t>adjusted amount</t>
        </is>
      </c>
    </row>
    <row r="18">
      <c r="A18" s="14" t="inlineStr">
        <is>
          <t>TXN014</t>
        </is>
      </c>
      <c r="B18" s="15" t="n">
        <v>45202</v>
      </c>
      <c r="C18" s="14" t="inlineStr">
        <is>
          <t>Friend</t>
        </is>
      </c>
      <c r="D18" s="14" t="inlineStr">
        <is>
          <t>Repayment received</t>
        </is>
      </c>
      <c r="E18" s="16" t="n">
        <v>8000</v>
      </c>
      <c r="F18" s="16" t="n">
        <v>8000</v>
      </c>
      <c r="G18" s="16">
        <f>SUM($E$5:E18)-SUM($F$5:F18)</f>
        <v/>
      </c>
      <c r="H18" s="14" t="inlineStr">
        <is>
          <t>Bank/UPI</t>
        </is>
      </c>
      <c r="I18" s="14" t="n"/>
      <c r="J18" s="14" t="inlineStr">
        <is>
          <t>adjusted amount</t>
        </is>
      </c>
    </row>
    <row r="19">
      <c r="A19" s="14" t="inlineStr">
        <is>
          <t>TXN015</t>
        </is>
      </c>
      <c r="B19" s="15" t="n">
        <v>45203</v>
      </c>
      <c r="C19" s="14" t="inlineStr">
        <is>
          <t>Friend</t>
        </is>
      </c>
      <c r="D19" s="14" t="inlineStr">
        <is>
          <t>Repayment received</t>
        </is>
      </c>
      <c r="E19" s="16" t="n">
        <v>2000</v>
      </c>
      <c r="F19" s="16" t="n">
        <v>2000</v>
      </c>
      <c r="G19" s="16">
        <f>SUM($E$5:E19)-SUM($F$5:F19)</f>
        <v/>
      </c>
      <c r="H19" s="14" t="inlineStr">
        <is>
          <t>Bank/UPI</t>
        </is>
      </c>
      <c r="I19" s="14" t="n"/>
      <c r="J19" s="14" t="inlineStr">
        <is>
          <t>adjusted amount</t>
        </is>
      </c>
    </row>
    <row r="20">
      <c r="A20" s="14" t="inlineStr">
        <is>
          <t>TXN016</t>
        </is>
      </c>
      <c r="B20" s="15" t="n">
        <v>45205</v>
      </c>
      <c r="C20" s="14" t="inlineStr">
        <is>
          <t>Friend</t>
        </is>
      </c>
      <c r="D20" s="14" t="inlineStr">
        <is>
          <t>Repayment received</t>
        </is>
      </c>
      <c r="E20" s="16" t="n">
        <v>20000</v>
      </c>
      <c r="F20" s="16" t="n">
        <v>20000</v>
      </c>
      <c r="G20" s="16">
        <f>SUM($E$5:E20)-SUM($F$5:F20)</f>
        <v/>
      </c>
      <c r="H20" s="14" t="inlineStr">
        <is>
          <t>Bank/UPI</t>
        </is>
      </c>
      <c r="I20" s="14" t="n"/>
      <c r="J20" s="14" t="inlineStr">
        <is>
          <t>adjusted amount</t>
        </is>
      </c>
    </row>
    <row r="21">
      <c r="A21" s="14" t="inlineStr">
        <is>
          <t>TXN017</t>
        </is>
      </c>
      <c r="B21" s="15" t="n">
        <v>45200</v>
      </c>
      <c r="C21" s="14" t="inlineStr">
        <is>
          <t>Friend</t>
        </is>
      </c>
      <c r="D21" s="14" t="inlineStr">
        <is>
          <t>Repayment received</t>
        </is>
      </c>
      <c r="E21" s="16" t="n">
        <v>1000</v>
      </c>
      <c r="F21" s="16" t="n">
        <v>1000</v>
      </c>
      <c r="G21" s="16">
        <f>SUM($E$5:E21)-SUM($F$5:F21)</f>
        <v/>
      </c>
      <c r="H21" s="14" t="inlineStr">
        <is>
          <t>Bank/UPI</t>
        </is>
      </c>
      <c r="I21" s="14" t="n"/>
      <c r="J21" s="14" t="inlineStr">
        <is>
          <t>adjusted amount</t>
        </is>
      </c>
    </row>
    <row r="22">
      <c r="A22" s="14" t="inlineStr">
        <is>
          <t>TXN018</t>
        </is>
      </c>
      <c r="B22" s="15" t="n">
        <v>45220</v>
      </c>
      <c r="C22" s="14" t="inlineStr">
        <is>
          <t>Friend</t>
        </is>
      </c>
      <c r="D22" s="14" t="inlineStr">
        <is>
          <t>Repayment received</t>
        </is>
      </c>
      <c r="E22" s="16" t="n">
        <v>5000</v>
      </c>
      <c r="F22" s="16" t="n">
        <v>5000</v>
      </c>
      <c r="G22" s="16">
        <f>SUM($E$5:E22)-SUM($F$5:F22)</f>
        <v/>
      </c>
      <c r="H22" s="14" t="inlineStr">
        <is>
          <t>Bank/UPI</t>
        </is>
      </c>
      <c r="I22" s="14" t="n"/>
      <c r="J22" s="14" t="inlineStr">
        <is>
          <t>adjusted amount</t>
        </is>
      </c>
    </row>
    <row r="23">
      <c r="A23" s="14" t="inlineStr">
        <is>
          <t>TXN019</t>
        </is>
      </c>
      <c r="B23" s="15" t="n">
        <v>45336</v>
      </c>
      <c r="C23" s="14" t="inlineStr">
        <is>
          <t>Friend</t>
        </is>
      </c>
      <c r="D23" s="14" t="inlineStr">
        <is>
          <t>Amount given</t>
        </is>
      </c>
      <c r="E23" s="16" t="n">
        <v>0</v>
      </c>
      <c r="F23" s="16" t="n">
        <v>19000</v>
      </c>
      <c r="G23" s="16">
        <f>SUM($E$5:E23)-SUM($F$5:F23)</f>
        <v/>
      </c>
      <c r="H23" s="14" t="inlineStr">
        <is>
          <t>Bank/UPI</t>
        </is>
      </c>
      <c r="I23" s="14" t="n"/>
      <c r="J23" s="14" t="n"/>
    </row>
    <row r="24">
      <c r="A24" s="14" t="inlineStr">
        <is>
          <t>TXN020</t>
        </is>
      </c>
      <c r="B24" s="15" t="n">
        <v>45342</v>
      </c>
      <c r="C24" s="14" t="inlineStr">
        <is>
          <t>Friend</t>
        </is>
      </c>
      <c r="D24" s="14" t="inlineStr">
        <is>
          <t>Repayment received</t>
        </is>
      </c>
      <c r="E24" s="16" t="n">
        <v>500</v>
      </c>
      <c r="F24" s="16" t="n">
        <v>0</v>
      </c>
      <c r="G24" s="16">
        <f>SUM($E$5:E24)-SUM($F$5:F24)</f>
        <v/>
      </c>
      <c r="H24" s="14" t="inlineStr">
        <is>
          <t>Bank/UPI</t>
        </is>
      </c>
      <c r="I24" s="14" t="n"/>
      <c r="J24" s="14" t="n"/>
    </row>
    <row r="25">
      <c r="A25" s="14" t="inlineStr">
        <is>
          <t>TXN021</t>
        </is>
      </c>
      <c r="B25" s="15" t="n">
        <v>45352</v>
      </c>
      <c r="C25" s="14" t="inlineStr">
        <is>
          <t>Friend</t>
        </is>
      </c>
      <c r="D25" s="14" t="inlineStr">
        <is>
          <t>Amount given</t>
        </is>
      </c>
      <c r="E25" s="16" t="n">
        <v>0</v>
      </c>
      <c r="F25" s="16" t="n">
        <v>9500</v>
      </c>
      <c r="G25" s="16">
        <f>SUM($E$5:E25)-SUM($F$5:F25)</f>
        <v/>
      </c>
      <c r="H25" s="14" t="inlineStr">
        <is>
          <t>Bank/UPI</t>
        </is>
      </c>
      <c r="I25" s="14" t="n"/>
      <c r="J25" s="14" t="n"/>
    </row>
    <row r="26">
      <c r="A26" s="14" t="inlineStr">
        <is>
          <t>TXN022</t>
        </is>
      </c>
      <c r="B26" s="15" t="n">
        <v>45522</v>
      </c>
      <c r="C26" s="14" t="inlineStr">
        <is>
          <t>Friend</t>
        </is>
      </c>
      <c r="D26" s="14" t="inlineStr">
        <is>
          <t>Amount given</t>
        </is>
      </c>
      <c r="E26" s="16" t="n">
        <v>0</v>
      </c>
      <c r="F26" s="16" t="n">
        <v>50000</v>
      </c>
      <c r="G26" s="16">
        <f>SUM($E$5:E26)-SUM($F$5:F26)</f>
        <v/>
      </c>
      <c r="H26" s="14" t="inlineStr">
        <is>
          <t>Bank/UPI</t>
        </is>
      </c>
      <c r="I26" s="14" t="n"/>
      <c r="J26" s="14" t="n"/>
    </row>
    <row r="27">
      <c r="A27" s="14" t="inlineStr">
        <is>
          <t>TXN023</t>
        </is>
      </c>
      <c r="B27" s="15" t="n">
        <v>45565</v>
      </c>
      <c r="C27" s="14" t="inlineStr">
        <is>
          <t>Friend</t>
        </is>
      </c>
      <c r="D27" s="14" t="inlineStr">
        <is>
          <t>Amount given</t>
        </is>
      </c>
      <c r="E27" s="16" t="n">
        <v>0</v>
      </c>
      <c r="F27" s="16" t="n">
        <v>50000</v>
      </c>
      <c r="G27" s="16">
        <f>SUM($E$5:E27)-SUM($F$5:F27)</f>
        <v/>
      </c>
      <c r="H27" s="14" t="inlineStr">
        <is>
          <t>Bank/UPI</t>
        </is>
      </c>
      <c r="I27" s="14" t="n"/>
      <c r="J27" s="14" t="n"/>
    </row>
    <row r="28">
      <c r="A28" s="14" t="inlineStr">
        <is>
          <t>TXN024</t>
        </is>
      </c>
      <c r="B28" s="15" t="n">
        <v>45595</v>
      </c>
      <c r="C28" s="14" t="inlineStr">
        <is>
          <t>Friend</t>
        </is>
      </c>
      <c r="D28" s="14" t="inlineStr">
        <is>
          <t>Amount given</t>
        </is>
      </c>
      <c r="E28" s="16" t="n">
        <v>0</v>
      </c>
      <c r="F28" s="16" t="n">
        <v>40000</v>
      </c>
      <c r="G28" s="16">
        <f>SUM($E$5:E28)-SUM($F$5:F28)</f>
        <v/>
      </c>
      <c r="H28" s="14" t="inlineStr">
        <is>
          <t>Bank/UPI</t>
        </is>
      </c>
      <c r="I28" s="14" t="n"/>
      <c r="J28" s="14" t="n"/>
    </row>
    <row r="29">
      <c r="A29" s="14" t="inlineStr">
        <is>
          <t>TXN025</t>
        </is>
      </c>
      <c r="B29" s="15" t="n">
        <v>45626</v>
      </c>
      <c r="C29" s="14" t="inlineStr">
        <is>
          <t>Friend</t>
        </is>
      </c>
      <c r="D29" s="14" t="inlineStr">
        <is>
          <t>Amount given</t>
        </is>
      </c>
      <c r="E29" s="16" t="n">
        <v>0</v>
      </c>
      <c r="F29" s="16" t="n">
        <v>40000</v>
      </c>
      <c r="G29" s="16">
        <f>SUM($E$5:E29)-SUM($F$5:F29)</f>
        <v/>
      </c>
      <c r="H29" s="14" t="inlineStr">
        <is>
          <t>Bank/UPI</t>
        </is>
      </c>
      <c r="I29" s="14" t="n"/>
      <c r="J29" s="14" t="n"/>
    </row>
    <row r="30">
      <c r="A30" s="14" t="inlineStr">
        <is>
          <t>TXN026</t>
        </is>
      </c>
      <c r="B30" s="15" t="n">
        <v>45653</v>
      </c>
      <c r="C30" s="14" t="inlineStr">
        <is>
          <t>Friend</t>
        </is>
      </c>
      <c r="D30" s="14" t="inlineStr">
        <is>
          <t>Amount given</t>
        </is>
      </c>
      <c r="E30" s="16" t="n">
        <v>0</v>
      </c>
      <c r="F30" s="16" t="n">
        <v>40000</v>
      </c>
      <c r="G30" s="16">
        <f>SUM($E$5:E30)-SUM($F$5:F30)</f>
        <v/>
      </c>
      <c r="H30" s="14" t="inlineStr">
        <is>
          <t>Bank/UPI</t>
        </is>
      </c>
      <c r="I30" s="14" t="n"/>
      <c r="J30" s="14" t="n"/>
    </row>
    <row r="31">
      <c r="A31" s="14" t="inlineStr">
        <is>
          <t>TXN027</t>
        </is>
      </c>
      <c r="B31" s="15" t="n">
        <v>45698</v>
      </c>
      <c r="C31" s="14" t="inlineStr">
        <is>
          <t>Friend</t>
        </is>
      </c>
      <c r="D31" s="14" t="inlineStr">
        <is>
          <t>Amount given</t>
        </is>
      </c>
      <c r="E31" s="16" t="n">
        <v>0</v>
      </c>
      <c r="F31" s="16" t="n">
        <v>40000</v>
      </c>
      <c r="G31" s="16">
        <f>SUM($E$5:E31)-SUM($F$5:F31)</f>
        <v/>
      </c>
      <c r="H31" s="14" t="inlineStr">
        <is>
          <t>Bank/UPI</t>
        </is>
      </c>
      <c r="I31" s="14" t="n"/>
      <c r="J31" s="14" t="n"/>
    </row>
    <row r="32">
      <c r="A32" s="14" t="inlineStr">
        <is>
          <t>TXN028</t>
        </is>
      </c>
      <c r="B32" s="15" t="n">
        <v>45717</v>
      </c>
      <c r="C32" s="14" t="inlineStr">
        <is>
          <t>Friend</t>
        </is>
      </c>
      <c r="D32" s="14" t="inlineStr">
        <is>
          <t>Amount given</t>
        </is>
      </c>
      <c r="E32" s="16" t="n">
        <v>0</v>
      </c>
      <c r="F32" s="16" t="n">
        <v>30000</v>
      </c>
      <c r="G32" s="16">
        <f>SUM($E$5:E32)-SUM($F$5:F32)</f>
        <v/>
      </c>
      <c r="H32" s="14" t="inlineStr">
        <is>
          <t>Bank/UPI</t>
        </is>
      </c>
      <c r="I32" s="14" t="n"/>
      <c r="J32" s="14" t="inlineStr">
        <is>
          <t>Approximate date</t>
        </is>
      </c>
    </row>
    <row r="33">
      <c r="A33" s="14" t="inlineStr">
        <is>
          <t>TXN029</t>
        </is>
      </c>
      <c r="B33" s="15" t="n">
        <v>45744</v>
      </c>
      <c r="C33" s="14" t="inlineStr">
        <is>
          <t>Friend</t>
        </is>
      </c>
      <c r="D33" s="14" t="inlineStr">
        <is>
          <t>Amount given</t>
        </is>
      </c>
      <c r="E33" s="16" t="n">
        <v>0</v>
      </c>
      <c r="F33" s="16" t="n">
        <v>30000</v>
      </c>
      <c r="G33" s="16">
        <f>SUM($E$5:E33)-SUM($F$5:F33)</f>
        <v/>
      </c>
      <c r="H33" s="14" t="inlineStr">
        <is>
          <t>Bank/UPI</t>
        </is>
      </c>
      <c r="I33" s="14" t="n"/>
      <c r="J33" s="14" t="n"/>
    </row>
    <row r="34">
      <c r="A34" s="14" t="inlineStr">
        <is>
          <t>TXN030</t>
        </is>
      </c>
      <c r="B34" s="15" t="n">
        <v>45808</v>
      </c>
      <c r="C34" s="14" t="inlineStr">
        <is>
          <t>Friend</t>
        </is>
      </c>
      <c r="D34" s="14" t="inlineStr">
        <is>
          <t>Amount given</t>
        </is>
      </c>
      <c r="E34" s="16" t="n">
        <v>0</v>
      </c>
      <c r="F34" s="16" t="n">
        <v>30000</v>
      </c>
      <c r="G34" s="16">
        <f>SUM($E$5:E34)-SUM($F$5:F34)</f>
        <v/>
      </c>
      <c r="H34" s="14" t="inlineStr">
        <is>
          <t>Bank/UPI</t>
        </is>
      </c>
      <c r="I34" s="14" t="n"/>
      <c r="J34" s="14" t="n"/>
    </row>
    <row r="35">
      <c r="A35" s="14" t="inlineStr">
        <is>
          <t>TXN031</t>
        </is>
      </c>
      <c r="B35" s="15" t="n">
        <v>45839</v>
      </c>
      <c r="C35" s="14" t="inlineStr">
        <is>
          <t>Friend</t>
        </is>
      </c>
      <c r="D35" s="14" t="inlineStr">
        <is>
          <t>Amount given</t>
        </is>
      </c>
      <c r="E35" s="16" t="n">
        <v>0</v>
      </c>
      <c r="F35" s="16" t="n">
        <v>30000</v>
      </c>
      <c r="G35" s="16">
        <f>SUM($E$5:E35)-SUM($F$5:F35)</f>
        <v/>
      </c>
      <c r="H35" s="14" t="inlineStr">
        <is>
          <t>Bank/UPI</t>
        </is>
      </c>
      <c r="I35" s="14" t="n"/>
      <c r="J35" s="14" t="n"/>
    </row>
    <row r="36">
      <c r="A36" s="14" t="inlineStr">
        <is>
          <t>TXN032</t>
        </is>
      </c>
      <c r="B36" s="15" t="n">
        <v>45901</v>
      </c>
      <c r="C36" s="14" t="inlineStr">
        <is>
          <t>Friend</t>
        </is>
      </c>
      <c r="D36" s="14" t="inlineStr">
        <is>
          <t>Amount given</t>
        </is>
      </c>
      <c r="E36" s="16" t="n">
        <v>0</v>
      </c>
      <c r="F36" s="16" t="n">
        <v>30000</v>
      </c>
      <c r="G36" s="16">
        <f>SUM($E$5:E36)-SUM($F$5:F36)</f>
        <v/>
      </c>
      <c r="H36" s="14" t="inlineStr">
        <is>
          <t>Bank/UPI</t>
        </is>
      </c>
      <c r="I36" s="14" t="n"/>
      <c r="J36" s="14" t="inlineStr">
        <is>
          <t>Approximate date</t>
        </is>
      </c>
    </row>
    <row r="37">
      <c r="A37" s="14" t="inlineStr">
        <is>
          <t>TXN033</t>
        </is>
      </c>
      <c r="B37" s="15" t="n">
        <v>45933</v>
      </c>
      <c r="C37" s="14" t="inlineStr">
        <is>
          <t>Friend</t>
        </is>
      </c>
      <c r="D37" s="14" t="inlineStr">
        <is>
          <t>Amount given</t>
        </is>
      </c>
      <c r="E37" s="16" t="n">
        <v>0</v>
      </c>
      <c r="F37" s="16" t="n">
        <v>30000</v>
      </c>
      <c r="G37" s="16">
        <f>SUM($E$5:E37)-SUM($F$5:F37)</f>
        <v/>
      </c>
      <c r="H37" s="14" t="inlineStr">
        <is>
          <t>Bank/UPI</t>
        </is>
      </c>
      <c r="I37" s="14" t="n"/>
      <c r="J37" s="14" t="n"/>
    </row>
    <row r="38">
      <c r="A38" s="14" t="inlineStr">
        <is>
          <t>TXN034</t>
        </is>
      </c>
      <c r="B38" s="15" t="n">
        <v>45993</v>
      </c>
      <c r="C38" s="14" t="inlineStr">
        <is>
          <t>Friend</t>
        </is>
      </c>
      <c r="D38" s="14" t="inlineStr">
        <is>
          <t>Amount given</t>
        </is>
      </c>
      <c r="E38" s="16" t="n">
        <v>0</v>
      </c>
      <c r="F38" s="16" t="n">
        <v>30000</v>
      </c>
      <c r="G38" s="16">
        <f>SUM($E$5:E38)-SUM($F$5:F38)</f>
        <v/>
      </c>
      <c r="H38" s="14" t="inlineStr">
        <is>
          <t>Bank/UPI</t>
        </is>
      </c>
      <c r="I38" s="14" t="n"/>
      <c r="J38" s="14" t="n"/>
    </row>
    <row r="39">
      <c r="A39" s="14" t="inlineStr">
        <is>
          <t>TXN035</t>
        </is>
      </c>
      <c r="B39" s="15" t="n">
        <v>46025</v>
      </c>
      <c r="C39" s="14" t="inlineStr">
        <is>
          <t>Friend</t>
        </is>
      </c>
      <c r="D39" s="14" t="inlineStr">
        <is>
          <t>Amount given</t>
        </is>
      </c>
      <c r="E39" s="16" t="n">
        <v>0</v>
      </c>
      <c r="F39" s="16" t="n">
        <v>30000</v>
      </c>
      <c r="G39" s="16">
        <f>SUM($E$5:E39)-SUM($F$5:F39)</f>
        <v/>
      </c>
      <c r="H39" s="14" t="inlineStr">
        <is>
          <t>Bank/UPI</t>
        </is>
      </c>
      <c r="I39" s="14" t="n"/>
      <c r="J39" s="14" t="n"/>
    </row>
    <row r="40">
      <c r="A40" s="14" t="inlineStr">
        <is>
          <t>TXN036</t>
        </is>
      </c>
      <c r="B40" s="15" t="n">
        <v>46083</v>
      </c>
      <c r="C40" s="14" t="inlineStr">
        <is>
          <t>Friend</t>
        </is>
      </c>
      <c r="D40" s="14" t="inlineStr">
        <is>
          <t>Amount given</t>
        </is>
      </c>
      <c r="E40" s="16" t="n">
        <v>0</v>
      </c>
      <c r="F40" s="16" t="n">
        <v>25000</v>
      </c>
      <c r="G40" s="16">
        <f>SUM($E$5:E40)-SUM($F$5:F40)</f>
        <v/>
      </c>
      <c r="H40" s="14" t="inlineStr">
        <is>
          <t>Bank/UPI</t>
        </is>
      </c>
      <c r="I40" s="14" t="n"/>
      <c r="J40" s="14" t="n"/>
    </row>
    <row r="41">
      <c r="A41" s="14" t="inlineStr">
        <is>
          <t>TXN037</t>
        </is>
      </c>
      <c r="B41" s="15" t="n">
        <v>46096</v>
      </c>
      <c r="C41" s="14" t="inlineStr">
        <is>
          <t>Bharath + 3 others</t>
        </is>
      </c>
      <c r="D41" s="14" t="inlineStr">
        <is>
          <t>Support amount given</t>
        </is>
      </c>
      <c r="E41" s="16" t="n">
        <v>0</v>
      </c>
      <c r="F41" s="16" t="n">
        <v>100000</v>
      </c>
      <c r="G41" s="16">
        <f>SUM($E$5:E41)-SUM($F$5:F41)</f>
        <v/>
      </c>
      <c r="H41" s="14" t="inlineStr">
        <is>
          <t>Bank/UPI</t>
        </is>
      </c>
      <c r="I41" s="14" t="n"/>
      <c r="J41" s="14" t="inlineStr">
        <is>
          <t>Treated as amount given to friend</t>
        </is>
      </c>
    </row>
    <row r="42">
      <c r="A42" s="14" t="inlineStr">
        <is>
          <t>TXN038</t>
        </is>
      </c>
      <c r="B42" s="15" t="n">
        <v>46176</v>
      </c>
      <c r="C42" s="14" t="inlineStr">
        <is>
          <t>R Bgl Rudra</t>
        </is>
      </c>
      <c r="D42" s="14" t="inlineStr">
        <is>
          <t>Amount given / paid successfully</t>
        </is>
      </c>
      <c r="E42" s="16" t="n">
        <v>0</v>
      </c>
      <c r="F42" s="16" t="n">
        <v>20000</v>
      </c>
      <c r="G42" s="16">
        <f>SUM($E$5:E42)-SUM($F$5:F42)</f>
        <v/>
      </c>
      <c r="H42" s="14" t="inlineStr">
        <is>
          <t>UPI</t>
        </is>
      </c>
      <c r="I42" s="14" t="n"/>
      <c r="J42" s="14" t="inlineStr">
        <is>
          <t>Confirmed from screenshot dated 3 Jun 2026, 6:53 AM</t>
        </is>
      </c>
    </row>
  </sheetData>
  <autoFilter ref="A4:J42"/>
  <dataValidations count="1">
    <dataValidation sqref="H5:H500" showDropDown="0" showInputMessage="0" showErrorMessage="0" allowBlank="1" errorTitle="Invalid value" error="Pick a value from the list" type="list">
      <formula1>=Setup!$C$6:$C$11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Monthly summary (from Transactions)</t>
        </is>
      </c>
    </row>
    <row r="2">
      <c r="A2" s="2" t="inlineStr">
        <is>
          <t>Requires real dates in Transactions!B. Month-only source dates were converted to the 1st of that month.</t>
        </is>
      </c>
    </row>
    <row r="4" ht="22" customHeight="1">
      <c r="A4" s="8" t="inlineStr">
        <is>
          <t>Month</t>
        </is>
      </c>
      <c r="B4" s="8" t="inlineStr">
        <is>
          <t>Total_Credit</t>
        </is>
      </c>
      <c r="C4" s="8" t="inlineStr">
        <is>
          <t>Total_Debit</t>
        </is>
      </c>
      <c r="D4" s="8" t="inlineStr">
        <is>
          <t>Net</t>
        </is>
      </c>
      <c r="E4" s="8" t="inlineStr">
        <is>
          <t>Closing_Balance</t>
        </is>
      </c>
    </row>
    <row r="5">
      <c r="A5" s="18" t="n">
        <v>44986</v>
      </c>
      <c r="B5" s="9">
        <f>SUMIFS(Transactions!$E:$E,Transactions!$B:$B,"&gt;="&amp;A5,Transactions!$B:$B,"&lt;"&amp;EDATE(A5,1))</f>
        <v/>
      </c>
      <c r="C5" s="9">
        <f>SUMIFS(Transactions!$F:$F,Transactions!$B:$B,"&gt;="&amp;A5,Transactions!$B:$B,"&lt;"&amp;EDATE(A5,1))</f>
        <v/>
      </c>
      <c r="D5" s="9">
        <f>B5-C5</f>
        <v/>
      </c>
      <c r="E5" s="9">
        <f>SUMIFS(Transactions!$E:$E,Transactions!$B:$B,"&lt;"&amp;EDATE(A5,1))-SUMIFS(Transactions!$F:$F,Transactions!$B:$B,"&lt;"&amp;EDATE(A5,1))</f>
        <v/>
      </c>
    </row>
    <row r="6">
      <c r="A6" s="18" t="n">
        <v>45017</v>
      </c>
      <c r="B6" s="9">
        <f>SUMIFS(Transactions!$E:$E,Transactions!$B:$B,"&gt;="&amp;A6,Transactions!$B:$B,"&lt;"&amp;EDATE(A6,1))</f>
        <v/>
      </c>
      <c r="C6" s="9">
        <f>SUMIFS(Transactions!$F:$F,Transactions!$B:$B,"&gt;="&amp;A6,Transactions!$B:$B,"&lt;"&amp;EDATE(A6,1))</f>
        <v/>
      </c>
      <c r="D6" s="9">
        <f>B6-C6</f>
        <v/>
      </c>
      <c r="E6" s="9">
        <f>SUMIFS(Transactions!$E:$E,Transactions!$B:$B,"&lt;"&amp;EDATE(A6,1))-SUMIFS(Transactions!$F:$F,Transactions!$B:$B,"&lt;"&amp;EDATE(A6,1))</f>
        <v/>
      </c>
    </row>
    <row r="7">
      <c r="A7" s="18" t="n">
        <v>45047</v>
      </c>
      <c r="B7" s="9">
        <f>SUMIFS(Transactions!$E:$E,Transactions!$B:$B,"&gt;="&amp;A7,Transactions!$B:$B,"&lt;"&amp;EDATE(A7,1))</f>
        <v/>
      </c>
      <c r="C7" s="9">
        <f>SUMIFS(Transactions!$F:$F,Transactions!$B:$B,"&gt;="&amp;A7,Transactions!$B:$B,"&lt;"&amp;EDATE(A7,1))</f>
        <v/>
      </c>
      <c r="D7" s="9">
        <f>B7-C7</f>
        <v/>
      </c>
      <c r="E7" s="9">
        <f>SUMIFS(Transactions!$E:$E,Transactions!$B:$B,"&lt;"&amp;EDATE(A7,1))-SUMIFS(Transactions!$F:$F,Transactions!$B:$B,"&lt;"&amp;EDATE(A7,1))</f>
        <v/>
      </c>
    </row>
    <row r="8">
      <c r="A8" s="18" t="n">
        <v>45078</v>
      </c>
      <c r="B8" s="9">
        <f>SUMIFS(Transactions!$E:$E,Transactions!$B:$B,"&gt;="&amp;A8,Transactions!$B:$B,"&lt;"&amp;EDATE(A8,1))</f>
        <v/>
      </c>
      <c r="C8" s="9">
        <f>SUMIFS(Transactions!$F:$F,Transactions!$B:$B,"&gt;="&amp;A8,Transactions!$B:$B,"&lt;"&amp;EDATE(A8,1))</f>
        <v/>
      </c>
      <c r="D8" s="9">
        <f>B8-C8</f>
        <v/>
      </c>
      <c r="E8" s="9">
        <f>SUMIFS(Transactions!$E:$E,Transactions!$B:$B,"&lt;"&amp;EDATE(A8,1))-SUMIFS(Transactions!$F:$F,Transactions!$B:$B,"&lt;"&amp;EDATE(A8,1))</f>
        <v/>
      </c>
    </row>
    <row r="9">
      <c r="A9" s="18" t="n">
        <v>45108</v>
      </c>
      <c r="B9" s="9">
        <f>SUMIFS(Transactions!$E:$E,Transactions!$B:$B,"&gt;="&amp;A9,Transactions!$B:$B,"&lt;"&amp;EDATE(A9,1))</f>
        <v/>
      </c>
      <c r="C9" s="9">
        <f>SUMIFS(Transactions!$F:$F,Transactions!$B:$B,"&gt;="&amp;A9,Transactions!$B:$B,"&lt;"&amp;EDATE(A9,1))</f>
        <v/>
      </c>
      <c r="D9" s="9">
        <f>B9-C9</f>
        <v/>
      </c>
      <c r="E9" s="9">
        <f>SUMIFS(Transactions!$E:$E,Transactions!$B:$B,"&lt;"&amp;EDATE(A9,1))-SUMIFS(Transactions!$F:$F,Transactions!$B:$B,"&lt;"&amp;EDATE(A9,1))</f>
        <v/>
      </c>
    </row>
    <row r="10">
      <c r="A10" s="18" t="n">
        <v>45139</v>
      </c>
      <c r="B10" s="9">
        <f>SUMIFS(Transactions!$E:$E,Transactions!$B:$B,"&gt;="&amp;A10,Transactions!$B:$B,"&lt;"&amp;EDATE(A10,1))</f>
        <v/>
      </c>
      <c r="C10" s="9">
        <f>SUMIFS(Transactions!$F:$F,Transactions!$B:$B,"&gt;="&amp;A10,Transactions!$B:$B,"&lt;"&amp;EDATE(A10,1))</f>
        <v/>
      </c>
      <c r="D10" s="9">
        <f>B10-C10</f>
        <v/>
      </c>
      <c r="E10" s="9">
        <f>SUMIFS(Transactions!$E:$E,Transactions!$B:$B,"&lt;"&amp;EDATE(A10,1))-SUMIFS(Transactions!$F:$F,Transactions!$B:$B,"&lt;"&amp;EDATE(A10,1))</f>
        <v/>
      </c>
    </row>
    <row r="11">
      <c r="A11" s="18" t="n">
        <v>45170</v>
      </c>
      <c r="B11" s="9">
        <f>SUMIFS(Transactions!$E:$E,Transactions!$B:$B,"&gt;="&amp;A11,Transactions!$B:$B,"&lt;"&amp;EDATE(A11,1))</f>
        <v/>
      </c>
      <c r="C11" s="9">
        <f>SUMIFS(Transactions!$F:$F,Transactions!$B:$B,"&gt;="&amp;A11,Transactions!$B:$B,"&lt;"&amp;EDATE(A11,1))</f>
        <v/>
      </c>
      <c r="D11" s="9">
        <f>B11-C11</f>
        <v/>
      </c>
      <c r="E11" s="9">
        <f>SUMIFS(Transactions!$E:$E,Transactions!$B:$B,"&lt;"&amp;EDATE(A11,1))-SUMIFS(Transactions!$F:$F,Transactions!$B:$B,"&lt;"&amp;EDATE(A11,1))</f>
        <v/>
      </c>
    </row>
    <row r="12">
      <c r="A12" s="18" t="n">
        <v>45200</v>
      </c>
      <c r="B12" s="9">
        <f>SUMIFS(Transactions!$E:$E,Transactions!$B:$B,"&gt;="&amp;A12,Transactions!$B:$B,"&lt;"&amp;EDATE(A12,1))</f>
        <v/>
      </c>
      <c r="C12" s="9">
        <f>SUMIFS(Transactions!$F:$F,Transactions!$B:$B,"&gt;="&amp;A12,Transactions!$B:$B,"&lt;"&amp;EDATE(A12,1))</f>
        <v/>
      </c>
      <c r="D12" s="9">
        <f>B12-C12</f>
        <v/>
      </c>
      <c r="E12" s="9">
        <f>SUMIFS(Transactions!$E:$E,Transactions!$B:$B,"&lt;"&amp;EDATE(A12,1))-SUMIFS(Transactions!$F:$F,Transactions!$B:$B,"&lt;"&amp;EDATE(A12,1))</f>
        <v/>
      </c>
    </row>
    <row r="13">
      <c r="A13" s="18" t="n">
        <v>45231</v>
      </c>
      <c r="B13" s="9">
        <f>SUMIFS(Transactions!$E:$E,Transactions!$B:$B,"&gt;="&amp;A13,Transactions!$B:$B,"&lt;"&amp;EDATE(A13,1))</f>
        <v/>
      </c>
      <c r="C13" s="9">
        <f>SUMIFS(Transactions!$F:$F,Transactions!$B:$B,"&gt;="&amp;A13,Transactions!$B:$B,"&lt;"&amp;EDATE(A13,1))</f>
        <v/>
      </c>
      <c r="D13" s="9">
        <f>B13-C13</f>
        <v/>
      </c>
      <c r="E13" s="9">
        <f>SUMIFS(Transactions!$E:$E,Transactions!$B:$B,"&lt;"&amp;EDATE(A13,1))-SUMIFS(Transactions!$F:$F,Transactions!$B:$B,"&lt;"&amp;EDATE(A13,1))</f>
        <v/>
      </c>
    </row>
    <row r="14">
      <c r="A14" s="18" t="n">
        <v>45261</v>
      </c>
      <c r="B14" s="9">
        <f>SUMIFS(Transactions!$E:$E,Transactions!$B:$B,"&gt;="&amp;A14,Transactions!$B:$B,"&lt;"&amp;EDATE(A14,1))</f>
        <v/>
      </c>
      <c r="C14" s="9">
        <f>SUMIFS(Transactions!$F:$F,Transactions!$B:$B,"&gt;="&amp;A14,Transactions!$B:$B,"&lt;"&amp;EDATE(A14,1))</f>
        <v/>
      </c>
      <c r="D14" s="9">
        <f>B14-C14</f>
        <v/>
      </c>
      <c r="E14" s="9">
        <f>SUMIFS(Transactions!$E:$E,Transactions!$B:$B,"&lt;"&amp;EDATE(A14,1))-SUMIFS(Transactions!$F:$F,Transactions!$B:$B,"&lt;"&amp;EDATE(A14,1))</f>
        <v/>
      </c>
    </row>
    <row r="15">
      <c r="A15" s="18" t="n">
        <v>45292</v>
      </c>
      <c r="B15" s="9">
        <f>SUMIFS(Transactions!$E:$E,Transactions!$B:$B,"&gt;="&amp;A15,Transactions!$B:$B,"&lt;"&amp;EDATE(A15,1))</f>
        <v/>
      </c>
      <c r="C15" s="9">
        <f>SUMIFS(Transactions!$F:$F,Transactions!$B:$B,"&gt;="&amp;A15,Transactions!$B:$B,"&lt;"&amp;EDATE(A15,1))</f>
        <v/>
      </c>
      <c r="D15" s="9">
        <f>B15-C15</f>
        <v/>
      </c>
      <c r="E15" s="9">
        <f>SUMIFS(Transactions!$E:$E,Transactions!$B:$B,"&lt;"&amp;EDATE(A15,1))-SUMIFS(Transactions!$F:$F,Transactions!$B:$B,"&lt;"&amp;EDATE(A15,1))</f>
        <v/>
      </c>
    </row>
    <row r="16">
      <c r="A16" s="18" t="n">
        <v>45323</v>
      </c>
      <c r="B16" s="9">
        <f>SUMIFS(Transactions!$E:$E,Transactions!$B:$B,"&gt;="&amp;A16,Transactions!$B:$B,"&lt;"&amp;EDATE(A16,1))</f>
        <v/>
      </c>
      <c r="C16" s="9">
        <f>SUMIFS(Transactions!$F:$F,Transactions!$B:$B,"&gt;="&amp;A16,Transactions!$B:$B,"&lt;"&amp;EDATE(A16,1))</f>
        <v/>
      </c>
      <c r="D16" s="9">
        <f>B16-C16</f>
        <v/>
      </c>
      <c r="E16" s="9">
        <f>SUMIFS(Transactions!$E:$E,Transactions!$B:$B,"&lt;"&amp;EDATE(A16,1))-SUMIFS(Transactions!$F:$F,Transactions!$B:$B,"&lt;"&amp;EDATE(A16,1))</f>
        <v/>
      </c>
    </row>
    <row r="17">
      <c r="A17" s="18" t="n">
        <v>45352</v>
      </c>
      <c r="B17" s="9">
        <f>SUMIFS(Transactions!$E:$E,Transactions!$B:$B,"&gt;="&amp;A17,Transactions!$B:$B,"&lt;"&amp;EDATE(A17,1))</f>
        <v/>
      </c>
      <c r="C17" s="9">
        <f>SUMIFS(Transactions!$F:$F,Transactions!$B:$B,"&gt;="&amp;A17,Transactions!$B:$B,"&lt;"&amp;EDATE(A17,1))</f>
        <v/>
      </c>
      <c r="D17" s="9">
        <f>B17-C17</f>
        <v/>
      </c>
      <c r="E17" s="9">
        <f>SUMIFS(Transactions!$E:$E,Transactions!$B:$B,"&lt;"&amp;EDATE(A17,1))-SUMIFS(Transactions!$F:$F,Transactions!$B:$B,"&lt;"&amp;EDATE(A17,1))</f>
        <v/>
      </c>
    </row>
    <row r="18">
      <c r="A18" s="18" t="n">
        <v>45383</v>
      </c>
      <c r="B18" s="9">
        <f>SUMIFS(Transactions!$E:$E,Transactions!$B:$B,"&gt;="&amp;A18,Transactions!$B:$B,"&lt;"&amp;EDATE(A18,1))</f>
        <v/>
      </c>
      <c r="C18" s="9">
        <f>SUMIFS(Transactions!$F:$F,Transactions!$B:$B,"&gt;="&amp;A18,Transactions!$B:$B,"&lt;"&amp;EDATE(A18,1))</f>
        <v/>
      </c>
      <c r="D18" s="9">
        <f>B18-C18</f>
        <v/>
      </c>
      <c r="E18" s="9">
        <f>SUMIFS(Transactions!$E:$E,Transactions!$B:$B,"&lt;"&amp;EDATE(A18,1))-SUMIFS(Transactions!$F:$F,Transactions!$B:$B,"&lt;"&amp;EDATE(A18,1))</f>
        <v/>
      </c>
    </row>
    <row r="19">
      <c r="A19" s="18" t="n">
        <v>45413</v>
      </c>
      <c r="B19" s="9">
        <f>SUMIFS(Transactions!$E:$E,Transactions!$B:$B,"&gt;="&amp;A19,Transactions!$B:$B,"&lt;"&amp;EDATE(A19,1))</f>
        <v/>
      </c>
      <c r="C19" s="9">
        <f>SUMIFS(Transactions!$F:$F,Transactions!$B:$B,"&gt;="&amp;A19,Transactions!$B:$B,"&lt;"&amp;EDATE(A19,1))</f>
        <v/>
      </c>
      <c r="D19" s="9">
        <f>B19-C19</f>
        <v/>
      </c>
      <c r="E19" s="9">
        <f>SUMIFS(Transactions!$E:$E,Transactions!$B:$B,"&lt;"&amp;EDATE(A19,1))-SUMIFS(Transactions!$F:$F,Transactions!$B:$B,"&lt;"&amp;EDATE(A19,1))</f>
        <v/>
      </c>
    </row>
    <row r="20">
      <c r="A20" s="18" t="n">
        <v>45444</v>
      </c>
      <c r="B20" s="9">
        <f>SUMIFS(Transactions!$E:$E,Transactions!$B:$B,"&gt;="&amp;A20,Transactions!$B:$B,"&lt;"&amp;EDATE(A20,1))</f>
        <v/>
      </c>
      <c r="C20" s="9">
        <f>SUMIFS(Transactions!$F:$F,Transactions!$B:$B,"&gt;="&amp;A20,Transactions!$B:$B,"&lt;"&amp;EDATE(A20,1))</f>
        <v/>
      </c>
      <c r="D20" s="9">
        <f>B20-C20</f>
        <v/>
      </c>
      <c r="E20" s="9">
        <f>SUMIFS(Transactions!$E:$E,Transactions!$B:$B,"&lt;"&amp;EDATE(A20,1))-SUMIFS(Transactions!$F:$F,Transactions!$B:$B,"&lt;"&amp;EDATE(A20,1))</f>
        <v/>
      </c>
    </row>
    <row r="21">
      <c r="A21" s="18" t="n">
        <v>45474</v>
      </c>
      <c r="B21" s="9">
        <f>SUMIFS(Transactions!$E:$E,Transactions!$B:$B,"&gt;="&amp;A21,Transactions!$B:$B,"&lt;"&amp;EDATE(A21,1))</f>
        <v/>
      </c>
      <c r="C21" s="9">
        <f>SUMIFS(Transactions!$F:$F,Transactions!$B:$B,"&gt;="&amp;A21,Transactions!$B:$B,"&lt;"&amp;EDATE(A21,1))</f>
        <v/>
      </c>
      <c r="D21" s="9">
        <f>B21-C21</f>
        <v/>
      </c>
      <c r="E21" s="9">
        <f>SUMIFS(Transactions!$E:$E,Transactions!$B:$B,"&lt;"&amp;EDATE(A21,1))-SUMIFS(Transactions!$F:$F,Transactions!$B:$B,"&lt;"&amp;EDATE(A21,1))</f>
        <v/>
      </c>
    </row>
    <row r="22">
      <c r="A22" s="18" t="n">
        <v>45505</v>
      </c>
      <c r="B22" s="9">
        <f>SUMIFS(Transactions!$E:$E,Transactions!$B:$B,"&gt;="&amp;A22,Transactions!$B:$B,"&lt;"&amp;EDATE(A22,1))</f>
        <v/>
      </c>
      <c r="C22" s="9">
        <f>SUMIFS(Transactions!$F:$F,Transactions!$B:$B,"&gt;="&amp;A22,Transactions!$B:$B,"&lt;"&amp;EDATE(A22,1))</f>
        <v/>
      </c>
      <c r="D22" s="9">
        <f>B22-C22</f>
        <v/>
      </c>
      <c r="E22" s="9">
        <f>SUMIFS(Transactions!$E:$E,Transactions!$B:$B,"&lt;"&amp;EDATE(A22,1))-SUMIFS(Transactions!$F:$F,Transactions!$B:$B,"&lt;"&amp;EDATE(A22,1))</f>
        <v/>
      </c>
    </row>
    <row r="23">
      <c r="A23" s="18" t="n">
        <v>45536</v>
      </c>
      <c r="B23" s="9">
        <f>SUMIFS(Transactions!$E:$E,Transactions!$B:$B,"&gt;="&amp;A23,Transactions!$B:$B,"&lt;"&amp;EDATE(A23,1))</f>
        <v/>
      </c>
      <c r="C23" s="9">
        <f>SUMIFS(Transactions!$F:$F,Transactions!$B:$B,"&gt;="&amp;A23,Transactions!$B:$B,"&lt;"&amp;EDATE(A23,1))</f>
        <v/>
      </c>
      <c r="D23" s="9">
        <f>B23-C23</f>
        <v/>
      </c>
      <c r="E23" s="9">
        <f>SUMIFS(Transactions!$E:$E,Transactions!$B:$B,"&lt;"&amp;EDATE(A23,1))-SUMIFS(Transactions!$F:$F,Transactions!$B:$B,"&lt;"&amp;EDATE(A23,1))</f>
        <v/>
      </c>
    </row>
    <row r="24">
      <c r="A24" s="18" t="n">
        <v>45566</v>
      </c>
      <c r="B24" s="9">
        <f>SUMIFS(Transactions!$E:$E,Transactions!$B:$B,"&gt;="&amp;A24,Transactions!$B:$B,"&lt;"&amp;EDATE(A24,1))</f>
        <v/>
      </c>
      <c r="C24" s="9">
        <f>SUMIFS(Transactions!$F:$F,Transactions!$B:$B,"&gt;="&amp;A24,Transactions!$B:$B,"&lt;"&amp;EDATE(A24,1))</f>
        <v/>
      </c>
      <c r="D24" s="9">
        <f>B24-C24</f>
        <v/>
      </c>
      <c r="E24" s="9">
        <f>SUMIFS(Transactions!$E:$E,Transactions!$B:$B,"&lt;"&amp;EDATE(A24,1))-SUMIFS(Transactions!$F:$F,Transactions!$B:$B,"&lt;"&amp;EDATE(A24,1))</f>
        <v/>
      </c>
    </row>
    <row r="25">
      <c r="A25" s="18" t="n">
        <v>45597</v>
      </c>
      <c r="B25" s="9">
        <f>SUMIFS(Transactions!$E:$E,Transactions!$B:$B,"&gt;="&amp;A25,Transactions!$B:$B,"&lt;"&amp;EDATE(A25,1))</f>
        <v/>
      </c>
      <c r="C25" s="9">
        <f>SUMIFS(Transactions!$F:$F,Transactions!$B:$B,"&gt;="&amp;A25,Transactions!$B:$B,"&lt;"&amp;EDATE(A25,1))</f>
        <v/>
      </c>
      <c r="D25" s="9">
        <f>B25-C25</f>
        <v/>
      </c>
      <c r="E25" s="9">
        <f>SUMIFS(Transactions!$E:$E,Transactions!$B:$B,"&lt;"&amp;EDATE(A25,1))-SUMIFS(Transactions!$F:$F,Transactions!$B:$B,"&lt;"&amp;EDATE(A25,1))</f>
        <v/>
      </c>
    </row>
    <row r="26">
      <c r="A26" s="18" t="n">
        <v>45627</v>
      </c>
      <c r="B26" s="9">
        <f>SUMIFS(Transactions!$E:$E,Transactions!$B:$B,"&gt;="&amp;A26,Transactions!$B:$B,"&lt;"&amp;EDATE(A26,1))</f>
        <v/>
      </c>
      <c r="C26" s="9">
        <f>SUMIFS(Transactions!$F:$F,Transactions!$B:$B,"&gt;="&amp;A26,Transactions!$B:$B,"&lt;"&amp;EDATE(A26,1))</f>
        <v/>
      </c>
      <c r="D26" s="9">
        <f>B26-C26</f>
        <v/>
      </c>
      <c r="E26" s="9">
        <f>SUMIFS(Transactions!$E:$E,Transactions!$B:$B,"&lt;"&amp;EDATE(A26,1))-SUMIFS(Transactions!$F:$F,Transactions!$B:$B,"&lt;"&amp;EDATE(A26,1))</f>
        <v/>
      </c>
    </row>
    <row r="27">
      <c r="A27" s="18" t="n">
        <v>45658</v>
      </c>
      <c r="B27" s="9">
        <f>SUMIFS(Transactions!$E:$E,Transactions!$B:$B,"&gt;="&amp;A27,Transactions!$B:$B,"&lt;"&amp;EDATE(A27,1))</f>
        <v/>
      </c>
      <c r="C27" s="9">
        <f>SUMIFS(Transactions!$F:$F,Transactions!$B:$B,"&gt;="&amp;A27,Transactions!$B:$B,"&lt;"&amp;EDATE(A27,1))</f>
        <v/>
      </c>
      <c r="D27" s="9">
        <f>B27-C27</f>
        <v/>
      </c>
      <c r="E27" s="9">
        <f>SUMIFS(Transactions!$E:$E,Transactions!$B:$B,"&lt;"&amp;EDATE(A27,1))-SUMIFS(Transactions!$F:$F,Transactions!$B:$B,"&lt;"&amp;EDATE(A27,1))</f>
        <v/>
      </c>
    </row>
    <row r="28">
      <c r="A28" s="18" t="n">
        <v>45689</v>
      </c>
      <c r="B28" s="9">
        <f>SUMIFS(Transactions!$E:$E,Transactions!$B:$B,"&gt;="&amp;A28,Transactions!$B:$B,"&lt;"&amp;EDATE(A28,1))</f>
        <v/>
      </c>
      <c r="C28" s="9">
        <f>SUMIFS(Transactions!$F:$F,Transactions!$B:$B,"&gt;="&amp;A28,Transactions!$B:$B,"&lt;"&amp;EDATE(A28,1))</f>
        <v/>
      </c>
      <c r="D28" s="9">
        <f>B28-C28</f>
        <v/>
      </c>
      <c r="E28" s="9">
        <f>SUMIFS(Transactions!$E:$E,Transactions!$B:$B,"&lt;"&amp;EDATE(A28,1))-SUMIFS(Transactions!$F:$F,Transactions!$B:$B,"&lt;"&amp;EDATE(A28,1))</f>
        <v/>
      </c>
    </row>
    <row r="29">
      <c r="A29" s="18" t="n">
        <v>45717</v>
      </c>
      <c r="B29" s="9">
        <f>SUMIFS(Transactions!$E:$E,Transactions!$B:$B,"&gt;="&amp;A29,Transactions!$B:$B,"&lt;"&amp;EDATE(A29,1))</f>
        <v/>
      </c>
      <c r="C29" s="9">
        <f>SUMIFS(Transactions!$F:$F,Transactions!$B:$B,"&gt;="&amp;A29,Transactions!$B:$B,"&lt;"&amp;EDATE(A29,1))</f>
        <v/>
      </c>
      <c r="D29" s="9">
        <f>B29-C29</f>
        <v/>
      </c>
      <c r="E29" s="9">
        <f>SUMIFS(Transactions!$E:$E,Transactions!$B:$B,"&lt;"&amp;EDATE(A29,1))-SUMIFS(Transactions!$F:$F,Transactions!$B:$B,"&lt;"&amp;EDATE(A29,1))</f>
        <v/>
      </c>
    </row>
    <row r="30">
      <c r="A30" s="18" t="n">
        <v>45748</v>
      </c>
      <c r="B30" s="9">
        <f>SUMIFS(Transactions!$E:$E,Transactions!$B:$B,"&gt;="&amp;A30,Transactions!$B:$B,"&lt;"&amp;EDATE(A30,1))</f>
        <v/>
      </c>
      <c r="C30" s="9">
        <f>SUMIFS(Transactions!$F:$F,Transactions!$B:$B,"&gt;="&amp;A30,Transactions!$B:$B,"&lt;"&amp;EDATE(A30,1))</f>
        <v/>
      </c>
      <c r="D30" s="9">
        <f>B30-C30</f>
        <v/>
      </c>
      <c r="E30" s="9">
        <f>SUMIFS(Transactions!$E:$E,Transactions!$B:$B,"&lt;"&amp;EDATE(A30,1))-SUMIFS(Transactions!$F:$F,Transactions!$B:$B,"&lt;"&amp;EDATE(A30,1))</f>
        <v/>
      </c>
    </row>
    <row r="31">
      <c r="A31" s="18" t="n">
        <v>45778</v>
      </c>
      <c r="B31" s="9">
        <f>SUMIFS(Transactions!$E:$E,Transactions!$B:$B,"&gt;="&amp;A31,Transactions!$B:$B,"&lt;"&amp;EDATE(A31,1))</f>
        <v/>
      </c>
      <c r="C31" s="9">
        <f>SUMIFS(Transactions!$F:$F,Transactions!$B:$B,"&gt;="&amp;A31,Transactions!$B:$B,"&lt;"&amp;EDATE(A31,1))</f>
        <v/>
      </c>
      <c r="D31" s="9">
        <f>B31-C31</f>
        <v/>
      </c>
      <c r="E31" s="9">
        <f>SUMIFS(Transactions!$E:$E,Transactions!$B:$B,"&lt;"&amp;EDATE(A31,1))-SUMIFS(Transactions!$F:$F,Transactions!$B:$B,"&lt;"&amp;EDATE(A31,1))</f>
        <v/>
      </c>
    </row>
    <row r="32">
      <c r="A32" s="18" t="n">
        <v>45809</v>
      </c>
      <c r="B32" s="9">
        <f>SUMIFS(Transactions!$E:$E,Transactions!$B:$B,"&gt;="&amp;A32,Transactions!$B:$B,"&lt;"&amp;EDATE(A32,1))</f>
        <v/>
      </c>
      <c r="C32" s="9">
        <f>SUMIFS(Transactions!$F:$F,Transactions!$B:$B,"&gt;="&amp;A32,Transactions!$B:$B,"&lt;"&amp;EDATE(A32,1))</f>
        <v/>
      </c>
      <c r="D32" s="9">
        <f>B32-C32</f>
        <v/>
      </c>
      <c r="E32" s="9">
        <f>SUMIFS(Transactions!$E:$E,Transactions!$B:$B,"&lt;"&amp;EDATE(A32,1))-SUMIFS(Transactions!$F:$F,Transactions!$B:$B,"&lt;"&amp;EDATE(A32,1))</f>
        <v/>
      </c>
    </row>
    <row r="33">
      <c r="A33" s="18" t="n">
        <v>45839</v>
      </c>
      <c r="B33" s="9">
        <f>SUMIFS(Transactions!$E:$E,Transactions!$B:$B,"&gt;="&amp;A33,Transactions!$B:$B,"&lt;"&amp;EDATE(A33,1))</f>
        <v/>
      </c>
      <c r="C33" s="9">
        <f>SUMIFS(Transactions!$F:$F,Transactions!$B:$B,"&gt;="&amp;A33,Transactions!$B:$B,"&lt;"&amp;EDATE(A33,1))</f>
        <v/>
      </c>
      <c r="D33" s="9">
        <f>B33-C33</f>
        <v/>
      </c>
      <c r="E33" s="9">
        <f>SUMIFS(Transactions!$E:$E,Transactions!$B:$B,"&lt;"&amp;EDATE(A33,1))-SUMIFS(Transactions!$F:$F,Transactions!$B:$B,"&lt;"&amp;EDATE(A33,1))</f>
        <v/>
      </c>
    </row>
    <row r="34">
      <c r="A34" s="18" t="n">
        <v>45870</v>
      </c>
      <c r="B34" s="9">
        <f>SUMIFS(Transactions!$E:$E,Transactions!$B:$B,"&gt;="&amp;A34,Transactions!$B:$B,"&lt;"&amp;EDATE(A34,1))</f>
        <v/>
      </c>
      <c r="C34" s="9">
        <f>SUMIFS(Transactions!$F:$F,Transactions!$B:$B,"&gt;="&amp;A34,Transactions!$B:$B,"&lt;"&amp;EDATE(A34,1))</f>
        <v/>
      </c>
      <c r="D34" s="9">
        <f>B34-C34</f>
        <v/>
      </c>
      <c r="E34" s="9">
        <f>SUMIFS(Transactions!$E:$E,Transactions!$B:$B,"&lt;"&amp;EDATE(A34,1))-SUMIFS(Transactions!$F:$F,Transactions!$B:$B,"&lt;"&amp;EDATE(A34,1))</f>
        <v/>
      </c>
    </row>
    <row r="35">
      <c r="A35" s="18" t="n">
        <v>45901</v>
      </c>
      <c r="B35" s="9">
        <f>SUMIFS(Transactions!$E:$E,Transactions!$B:$B,"&gt;="&amp;A35,Transactions!$B:$B,"&lt;"&amp;EDATE(A35,1))</f>
        <v/>
      </c>
      <c r="C35" s="9">
        <f>SUMIFS(Transactions!$F:$F,Transactions!$B:$B,"&gt;="&amp;A35,Transactions!$B:$B,"&lt;"&amp;EDATE(A35,1))</f>
        <v/>
      </c>
      <c r="D35" s="9">
        <f>B35-C35</f>
        <v/>
      </c>
      <c r="E35" s="9">
        <f>SUMIFS(Transactions!$E:$E,Transactions!$B:$B,"&lt;"&amp;EDATE(A35,1))-SUMIFS(Transactions!$F:$F,Transactions!$B:$B,"&lt;"&amp;EDATE(A35,1))</f>
        <v/>
      </c>
    </row>
    <row r="36">
      <c r="A36" s="18" t="n">
        <v>45931</v>
      </c>
      <c r="B36" s="9">
        <f>SUMIFS(Transactions!$E:$E,Transactions!$B:$B,"&gt;="&amp;A36,Transactions!$B:$B,"&lt;"&amp;EDATE(A36,1))</f>
        <v/>
      </c>
      <c r="C36" s="9">
        <f>SUMIFS(Transactions!$F:$F,Transactions!$B:$B,"&gt;="&amp;A36,Transactions!$B:$B,"&lt;"&amp;EDATE(A36,1))</f>
        <v/>
      </c>
      <c r="D36" s="9">
        <f>B36-C36</f>
        <v/>
      </c>
      <c r="E36" s="9">
        <f>SUMIFS(Transactions!$E:$E,Transactions!$B:$B,"&lt;"&amp;EDATE(A36,1))-SUMIFS(Transactions!$F:$F,Transactions!$B:$B,"&lt;"&amp;EDATE(A36,1))</f>
        <v/>
      </c>
    </row>
    <row r="37">
      <c r="A37" s="18" t="n">
        <v>45962</v>
      </c>
      <c r="B37" s="9">
        <f>SUMIFS(Transactions!$E:$E,Transactions!$B:$B,"&gt;="&amp;A37,Transactions!$B:$B,"&lt;"&amp;EDATE(A37,1))</f>
        <v/>
      </c>
      <c r="C37" s="9">
        <f>SUMIFS(Transactions!$F:$F,Transactions!$B:$B,"&gt;="&amp;A37,Transactions!$B:$B,"&lt;"&amp;EDATE(A37,1))</f>
        <v/>
      </c>
      <c r="D37" s="9">
        <f>B37-C37</f>
        <v/>
      </c>
      <c r="E37" s="9">
        <f>SUMIFS(Transactions!$E:$E,Transactions!$B:$B,"&lt;"&amp;EDATE(A37,1))-SUMIFS(Transactions!$F:$F,Transactions!$B:$B,"&lt;"&amp;EDATE(A37,1))</f>
        <v/>
      </c>
    </row>
    <row r="38">
      <c r="A38" s="18" t="n">
        <v>45992</v>
      </c>
      <c r="B38" s="9">
        <f>SUMIFS(Transactions!$E:$E,Transactions!$B:$B,"&gt;="&amp;A38,Transactions!$B:$B,"&lt;"&amp;EDATE(A38,1))</f>
        <v/>
      </c>
      <c r="C38" s="9">
        <f>SUMIFS(Transactions!$F:$F,Transactions!$B:$B,"&gt;="&amp;A38,Transactions!$B:$B,"&lt;"&amp;EDATE(A38,1))</f>
        <v/>
      </c>
      <c r="D38" s="9">
        <f>B38-C38</f>
        <v/>
      </c>
      <c r="E38" s="9">
        <f>SUMIFS(Transactions!$E:$E,Transactions!$B:$B,"&lt;"&amp;EDATE(A38,1))-SUMIFS(Transactions!$F:$F,Transactions!$B:$B,"&lt;"&amp;EDATE(A38,1))</f>
        <v/>
      </c>
    </row>
    <row r="39">
      <c r="A39" s="18" t="n">
        <v>46023</v>
      </c>
      <c r="B39" s="9">
        <f>SUMIFS(Transactions!$E:$E,Transactions!$B:$B,"&gt;="&amp;A39,Transactions!$B:$B,"&lt;"&amp;EDATE(A39,1))</f>
        <v/>
      </c>
      <c r="C39" s="9">
        <f>SUMIFS(Transactions!$F:$F,Transactions!$B:$B,"&gt;="&amp;A39,Transactions!$B:$B,"&lt;"&amp;EDATE(A39,1))</f>
        <v/>
      </c>
      <c r="D39" s="9">
        <f>B39-C39</f>
        <v/>
      </c>
      <c r="E39" s="9">
        <f>SUMIFS(Transactions!$E:$E,Transactions!$B:$B,"&lt;"&amp;EDATE(A39,1))-SUMIFS(Transactions!$F:$F,Transactions!$B:$B,"&lt;"&amp;EDATE(A39,1))</f>
        <v/>
      </c>
    </row>
    <row r="40">
      <c r="A40" s="18" t="n">
        <v>46054</v>
      </c>
      <c r="B40" s="9">
        <f>SUMIFS(Transactions!$E:$E,Transactions!$B:$B,"&gt;="&amp;A40,Transactions!$B:$B,"&lt;"&amp;EDATE(A40,1))</f>
        <v/>
      </c>
      <c r="C40" s="9">
        <f>SUMIFS(Transactions!$F:$F,Transactions!$B:$B,"&gt;="&amp;A40,Transactions!$B:$B,"&lt;"&amp;EDATE(A40,1))</f>
        <v/>
      </c>
      <c r="D40" s="9">
        <f>B40-C40</f>
        <v/>
      </c>
      <c r="E40" s="9">
        <f>SUMIFS(Transactions!$E:$E,Transactions!$B:$B,"&lt;"&amp;EDATE(A40,1))-SUMIFS(Transactions!$F:$F,Transactions!$B:$B,"&lt;"&amp;EDATE(A40,1))</f>
        <v/>
      </c>
    </row>
    <row r="41">
      <c r="A41" s="18" t="n">
        <v>46082</v>
      </c>
      <c r="B41" s="9">
        <f>SUMIFS(Transactions!$E:$E,Transactions!$B:$B,"&gt;="&amp;A41,Transactions!$B:$B,"&lt;"&amp;EDATE(A41,1))</f>
        <v/>
      </c>
      <c r="C41" s="9">
        <f>SUMIFS(Transactions!$F:$F,Transactions!$B:$B,"&gt;="&amp;A41,Transactions!$B:$B,"&lt;"&amp;EDATE(A41,1))</f>
        <v/>
      </c>
      <c r="D41" s="9">
        <f>B41-C41</f>
        <v/>
      </c>
      <c r="E41" s="9">
        <f>SUMIFS(Transactions!$E:$E,Transactions!$B:$B,"&lt;"&amp;EDATE(A41,1))-SUMIFS(Transactions!$F:$F,Transactions!$B:$B,"&lt;"&amp;EDATE(A41,1))</f>
        <v/>
      </c>
    </row>
    <row r="42">
      <c r="A42" s="18" t="n">
        <v>46113</v>
      </c>
      <c r="B42" s="9">
        <f>SUMIFS(Transactions!$E:$E,Transactions!$B:$B,"&gt;="&amp;A42,Transactions!$B:$B,"&lt;"&amp;EDATE(A42,1))</f>
        <v/>
      </c>
      <c r="C42" s="9">
        <f>SUMIFS(Transactions!$F:$F,Transactions!$B:$B,"&gt;="&amp;A42,Transactions!$B:$B,"&lt;"&amp;EDATE(A42,1))</f>
        <v/>
      </c>
      <c r="D42" s="9">
        <f>B42-C42</f>
        <v/>
      </c>
      <c r="E42" s="9">
        <f>SUMIFS(Transactions!$E:$E,Transactions!$B:$B,"&lt;"&amp;EDATE(A42,1))-SUMIFS(Transactions!$F:$F,Transactions!$B:$B,"&lt;"&amp;EDATE(A42,1))</f>
        <v/>
      </c>
    </row>
    <row r="43">
      <c r="A43" s="18" t="n">
        <v>46143</v>
      </c>
      <c r="B43" s="9">
        <f>SUMIFS(Transactions!$E:$E,Transactions!$B:$B,"&gt;="&amp;A43,Transactions!$B:$B,"&lt;"&amp;EDATE(A43,1))</f>
        <v/>
      </c>
      <c r="C43" s="9">
        <f>SUMIFS(Transactions!$F:$F,Transactions!$B:$B,"&gt;="&amp;A43,Transactions!$B:$B,"&lt;"&amp;EDATE(A43,1))</f>
        <v/>
      </c>
      <c r="D43" s="9">
        <f>B43-C43</f>
        <v/>
      </c>
      <c r="E43" s="9">
        <f>SUMIFS(Transactions!$E:$E,Transactions!$B:$B,"&lt;"&amp;EDATE(A43,1))-SUMIFS(Transactions!$F:$F,Transactions!$B:$B,"&lt;"&amp;EDATE(A43,1))</f>
        <v/>
      </c>
    </row>
    <row r="44">
      <c r="A44" s="18" t="n">
        <v>46174</v>
      </c>
      <c r="B44" s="9">
        <f>SUMIFS(Transactions!$E:$E,Transactions!$B:$B,"&gt;="&amp;A44,Transactions!$B:$B,"&lt;"&amp;EDATE(A44,1))</f>
        <v/>
      </c>
      <c r="C44" s="9">
        <f>SUMIFS(Transactions!$F:$F,Transactions!$B:$B,"&gt;="&amp;A44,Transactions!$B:$B,"&lt;"&amp;EDATE(A44,1))</f>
        <v/>
      </c>
      <c r="D44" s="9">
        <f>B44-C44</f>
        <v/>
      </c>
      <c r="E44" s="9">
        <f>SUMIFS(Transactions!$E:$E,Transactions!$B:$B,"&lt;"&amp;EDATE(A44,1))-SUMIFS(Transactions!$F:$F,Transactions!$B:$B,"&lt;"&amp;EDATE(A44,1))</f>
        <v/>
      </c>
    </row>
    <row r="45">
      <c r="A45" s="18" t="n">
        <v>46204</v>
      </c>
      <c r="B45" s="9">
        <f>SUMIFS(Transactions!$E:$E,Transactions!$B:$B,"&gt;="&amp;A45,Transactions!$B:$B,"&lt;"&amp;EDATE(A45,1))</f>
        <v/>
      </c>
      <c r="C45" s="9">
        <f>SUMIFS(Transactions!$F:$F,Transactions!$B:$B,"&gt;="&amp;A45,Transactions!$B:$B,"&lt;"&amp;EDATE(A45,1))</f>
        <v/>
      </c>
      <c r="D45" s="9">
        <f>B45-C45</f>
        <v/>
      </c>
      <c r="E45" s="9">
        <f>SUMIFS(Transactions!$E:$E,Transactions!$B:$B,"&lt;"&amp;EDATE(A45,1))-SUMIFS(Transactions!$F:$F,Transactions!$B:$B,"&lt;"&amp;EDATE(A45,1))</f>
        <v/>
      </c>
    </row>
    <row r="46">
      <c r="A46" s="18" t="n">
        <v>46235</v>
      </c>
      <c r="B46" s="9">
        <f>SUMIFS(Transactions!$E:$E,Transactions!$B:$B,"&gt;="&amp;A46,Transactions!$B:$B,"&lt;"&amp;EDATE(A46,1))</f>
        <v/>
      </c>
      <c r="C46" s="9">
        <f>SUMIFS(Transactions!$F:$F,Transactions!$B:$B,"&gt;="&amp;A46,Transactions!$B:$B,"&lt;"&amp;EDATE(A46,1))</f>
        <v/>
      </c>
      <c r="D46" s="9">
        <f>B46-C46</f>
        <v/>
      </c>
      <c r="E46" s="9">
        <f>SUMIFS(Transactions!$E:$E,Transactions!$B:$B,"&lt;"&amp;EDATE(A46,1))-SUMIFS(Transactions!$F:$F,Transactions!$B:$B,"&lt;"&amp;EDATE(A46,1))</f>
        <v/>
      </c>
    </row>
    <row r="47">
      <c r="A47" s="18" t="n">
        <v>46266</v>
      </c>
      <c r="B47" s="9">
        <f>SUMIFS(Transactions!$E:$E,Transactions!$B:$B,"&gt;="&amp;A47,Transactions!$B:$B,"&lt;"&amp;EDATE(A47,1))</f>
        <v/>
      </c>
      <c r="C47" s="9">
        <f>SUMIFS(Transactions!$F:$F,Transactions!$B:$B,"&gt;="&amp;A47,Transactions!$B:$B,"&lt;"&amp;EDATE(A47,1))</f>
        <v/>
      </c>
      <c r="D47" s="9">
        <f>B47-C47</f>
        <v/>
      </c>
      <c r="E47" s="9">
        <f>SUMIFS(Transactions!$E:$E,Transactions!$B:$B,"&lt;"&amp;EDATE(A47,1))-SUMIFS(Transactions!$F:$F,Transactions!$B:$B,"&lt;"&amp;EDATE(A47,1))</f>
        <v/>
      </c>
    </row>
    <row r="48">
      <c r="A48" s="18" t="n">
        <v>46296</v>
      </c>
      <c r="B48" s="9">
        <f>SUMIFS(Transactions!$E:$E,Transactions!$B:$B,"&gt;="&amp;A48,Transactions!$B:$B,"&lt;"&amp;EDATE(A48,1))</f>
        <v/>
      </c>
      <c r="C48" s="9">
        <f>SUMIFS(Transactions!$F:$F,Transactions!$B:$B,"&gt;="&amp;A48,Transactions!$B:$B,"&lt;"&amp;EDATE(A48,1))</f>
        <v/>
      </c>
      <c r="D48" s="9">
        <f>B48-C48</f>
        <v/>
      </c>
      <c r="E48" s="9">
        <f>SUMIFS(Transactions!$E:$E,Transactions!$B:$B,"&lt;"&amp;EDATE(A48,1))-SUMIFS(Transactions!$F:$F,Transactions!$B:$B,"&lt;"&amp;EDATE(A48,1))</f>
        <v/>
      </c>
    </row>
    <row r="49">
      <c r="A49" s="18" t="n">
        <v>46327</v>
      </c>
      <c r="B49" s="9">
        <f>SUMIFS(Transactions!$E:$E,Transactions!$B:$B,"&gt;="&amp;A49,Transactions!$B:$B,"&lt;"&amp;EDATE(A49,1))</f>
        <v/>
      </c>
      <c r="C49" s="9">
        <f>SUMIFS(Transactions!$F:$F,Transactions!$B:$B,"&gt;="&amp;A49,Transactions!$B:$B,"&lt;"&amp;EDATE(A49,1))</f>
        <v/>
      </c>
      <c r="D49" s="9">
        <f>B49-C49</f>
        <v/>
      </c>
      <c r="E49" s="9">
        <f>SUMIFS(Transactions!$E:$E,Transactions!$B:$B,"&lt;"&amp;EDATE(A49,1))-SUMIFS(Transactions!$F:$F,Transactions!$B:$B,"&lt;"&amp;EDATE(A49,1))</f>
        <v/>
      </c>
    </row>
    <row r="50">
      <c r="A50" s="18" t="n">
        <v>46357</v>
      </c>
      <c r="B50" s="9">
        <f>SUMIFS(Transactions!$E:$E,Transactions!$B:$B,"&gt;="&amp;A50,Transactions!$B:$B,"&lt;"&amp;EDATE(A50,1))</f>
        <v/>
      </c>
      <c r="C50" s="9">
        <f>SUMIFS(Transactions!$F:$F,Transactions!$B:$B,"&gt;="&amp;A50,Transactions!$B:$B,"&lt;"&amp;EDATE(A50,1))</f>
        <v/>
      </c>
      <c r="D50" s="9">
        <f>B50-C50</f>
        <v/>
      </c>
      <c r="E50" s="9">
        <f>SUMIFS(Transactions!$E:$E,Transactions!$B:$B,"&lt;"&amp;EDATE(A50,1))-SUMIFS(Transactions!$F:$F,Transactions!$B:$B,"&lt;"&amp;EDATE(A50,1))</f>
        <v/>
      </c>
    </row>
    <row r="51">
      <c r="A51" s="18" t="n">
        <v>46388</v>
      </c>
      <c r="B51" s="9">
        <f>SUMIFS(Transactions!$E:$E,Transactions!$B:$B,"&gt;="&amp;A51,Transactions!$B:$B,"&lt;"&amp;EDATE(A51,1))</f>
        <v/>
      </c>
      <c r="C51" s="9">
        <f>SUMIFS(Transactions!$F:$F,Transactions!$B:$B,"&gt;="&amp;A51,Transactions!$B:$B,"&lt;"&amp;EDATE(A51,1))</f>
        <v/>
      </c>
      <c r="D51" s="9">
        <f>B51-C51</f>
        <v/>
      </c>
      <c r="E51" s="9">
        <f>SUMIFS(Transactions!$E:$E,Transactions!$B:$B,"&lt;"&amp;EDATE(A51,1))-SUMIFS(Transactions!$F:$F,Transactions!$B:$B,"&lt;"&amp;EDATE(A51,1))</f>
        <v/>
      </c>
    </row>
    <row r="52">
      <c r="A52" s="18" t="n">
        <v>46419</v>
      </c>
      <c r="B52" s="9">
        <f>SUMIFS(Transactions!$E:$E,Transactions!$B:$B,"&gt;="&amp;A52,Transactions!$B:$B,"&lt;"&amp;EDATE(A52,1))</f>
        <v/>
      </c>
      <c r="C52" s="9">
        <f>SUMIFS(Transactions!$F:$F,Transactions!$B:$B,"&gt;="&amp;A52,Transactions!$B:$B,"&lt;"&amp;EDATE(A52,1))</f>
        <v/>
      </c>
      <c r="D52" s="9">
        <f>B52-C52</f>
        <v/>
      </c>
      <c r="E52" s="9">
        <f>SUMIFS(Transactions!$E:$E,Transactions!$B:$B,"&lt;"&amp;EDATE(A52,1))-SUMIFS(Transactions!$F:$F,Transactions!$B:$B,"&lt;"&amp;EDATE(A52,1))</f>
        <v/>
      </c>
    </row>
    <row r="53">
      <c r="A53" s="18" t="n">
        <v>46447</v>
      </c>
      <c r="B53" s="9">
        <f>SUMIFS(Transactions!$E:$E,Transactions!$B:$B,"&gt;="&amp;A53,Transactions!$B:$B,"&lt;"&amp;EDATE(A53,1))</f>
        <v/>
      </c>
      <c r="C53" s="9">
        <f>SUMIFS(Transactions!$F:$F,Transactions!$B:$B,"&gt;="&amp;A53,Transactions!$B:$B,"&lt;"&amp;EDATE(A53,1))</f>
        <v/>
      </c>
      <c r="D53" s="9">
        <f>B53-C53</f>
        <v/>
      </c>
      <c r="E53" s="9">
        <f>SUMIFS(Transactions!$E:$E,Transactions!$B:$B,"&lt;"&amp;EDATE(A53,1))-SUMIFS(Transactions!$F:$F,Transactions!$B:$B,"&lt;"&amp;EDATE(A53,1))</f>
        <v/>
      </c>
    </row>
    <row r="54">
      <c r="A54" s="18" t="n">
        <v>46478</v>
      </c>
      <c r="B54" s="9">
        <f>SUMIFS(Transactions!$E:$E,Transactions!$B:$B,"&gt;="&amp;A54,Transactions!$B:$B,"&lt;"&amp;EDATE(A54,1))</f>
        <v/>
      </c>
      <c r="C54" s="9">
        <f>SUMIFS(Transactions!$F:$F,Transactions!$B:$B,"&gt;="&amp;A54,Transactions!$B:$B,"&lt;"&amp;EDATE(A54,1))</f>
        <v/>
      </c>
      <c r="D54" s="9">
        <f>B54-C54</f>
        <v/>
      </c>
      <c r="E54" s="9">
        <f>SUMIFS(Transactions!$E:$E,Transactions!$B:$B,"&lt;"&amp;EDATE(A54,1))-SUMIFS(Transactions!$F:$F,Transactions!$B:$B,"&lt;"&amp;EDATE(A54,1))</f>
        <v/>
      </c>
    </row>
    <row r="55">
      <c r="A55" s="18" t="n">
        <v>46508</v>
      </c>
      <c r="B55" s="9">
        <f>SUMIFS(Transactions!$E:$E,Transactions!$B:$B,"&gt;="&amp;A55,Transactions!$B:$B,"&lt;"&amp;EDATE(A55,1))</f>
        <v/>
      </c>
      <c r="C55" s="9">
        <f>SUMIFS(Transactions!$F:$F,Transactions!$B:$B,"&gt;="&amp;A55,Transactions!$B:$B,"&lt;"&amp;EDATE(A55,1))</f>
        <v/>
      </c>
      <c r="D55" s="9">
        <f>B55-C55</f>
        <v/>
      </c>
      <c r="E55" s="9">
        <f>SUMIFS(Transactions!$E:$E,Transactions!$B:$B,"&lt;"&amp;EDATE(A55,1))-SUMIFS(Transactions!$F:$F,Transactions!$B:$B,"&lt;"&amp;EDATE(A55,1))</f>
        <v/>
      </c>
    </row>
    <row r="56">
      <c r="A56" s="18" t="n">
        <v>46539</v>
      </c>
      <c r="B56" s="9">
        <f>SUMIFS(Transactions!$E:$E,Transactions!$B:$B,"&gt;="&amp;A56,Transactions!$B:$B,"&lt;"&amp;EDATE(A56,1))</f>
        <v/>
      </c>
      <c r="C56" s="9">
        <f>SUMIFS(Transactions!$F:$F,Transactions!$B:$B,"&gt;="&amp;A56,Transactions!$B:$B,"&lt;"&amp;EDATE(A56,1))</f>
        <v/>
      </c>
      <c r="D56" s="9">
        <f>B56-C56</f>
        <v/>
      </c>
      <c r="E56" s="9">
        <f>SUMIFS(Transactions!$E:$E,Transactions!$B:$B,"&lt;"&amp;EDATE(A56,1))-SUMIFS(Transactions!$F:$F,Transactions!$B:$B,"&lt;"&amp;EDATE(A56,1))</f>
        <v/>
      </c>
    </row>
    <row r="57">
      <c r="A57" s="18" t="n">
        <v>46569</v>
      </c>
      <c r="B57" s="9">
        <f>SUMIFS(Transactions!$E:$E,Transactions!$B:$B,"&gt;="&amp;A57,Transactions!$B:$B,"&lt;"&amp;EDATE(A57,1))</f>
        <v/>
      </c>
      <c r="C57" s="9">
        <f>SUMIFS(Transactions!$F:$F,Transactions!$B:$B,"&gt;="&amp;A57,Transactions!$B:$B,"&lt;"&amp;EDATE(A57,1))</f>
        <v/>
      </c>
      <c r="D57" s="9">
        <f>B57-C57</f>
        <v/>
      </c>
      <c r="E57" s="9">
        <f>SUMIFS(Transactions!$E:$E,Transactions!$B:$B,"&lt;"&amp;EDATE(A57,1))-SUMIFS(Transactions!$F:$F,Transactions!$B:$B,"&lt;"&amp;EDATE(A57,1))</f>
        <v/>
      </c>
    </row>
    <row r="58">
      <c r="A58" s="18" t="n">
        <v>46600</v>
      </c>
      <c r="B58" s="9">
        <f>SUMIFS(Transactions!$E:$E,Transactions!$B:$B,"&gt;="&amp;A58,Transactions!$B:$B,"&lt;"&amp;EDATE(A58,1))</f>
        <v/>
      </c>
      <c r="C58" s="9">
        <f>SUMIFS(Transactions!$F:$F,Transactions!$B:$B,"&gt;="&amp;A58,Transactions!$B:$B,"&lt;"&amp;EDATE(A58,1))</f>
        <v/>
      </c>
      <c r="D58" s="9">
        <f>B58-C58</f>
        <v/>
      </c>
      <c r="E58" s="9">
        <f>SUMIFS(Transactions!$E:$E,Transactions!$B:$B,"&lt;"&amp;EDATE(A58,1))-SUMIFS(Transactions!$F:$F,Transactions!$B:$B,"&lt;"&amp;EDATE(A58,1))</f>
        <v/>
      </c>
    </row>
    <row r="59">
      <c r="A59" s="18" t="n">
        <v>46631</v>
      </c>
      <c r="B59" s="9">
        <f>SUMIFS(Transactions!$E:$E,Transactions!$B:$B,"&gt;="&amp;A59,Transactions!$B:$B,"&lt;"&amp;EDATE(A59,1))</f>
        <v/>
      </c>
      <c r="C59" s="9">
        <f>SUMIFS(Transactions!$F:$F,Transactions!$B:$B,"&gt;="&amp;A59,Transactions!$B:$B,"&lt;"&amp;EDATE(A59,1))</f>
        <v/>
      </c>
      <c r="D59" s="9">
        <f>B59-C59</f>
        <v/>
      </c>
      <c r="E59" s="9">
        <f>SUMIFS(Transactions!$E:$E,Transactions!$B:$B,"&lt;"&amp;EDATE(A59,1))-SUMIFS(Transactions!$F:$F,Transactions!$B:$B,"&lt;"&amp;EDATE(A59,1))</f>
        <v/>
      </c>
    </row>
    <row r="60">
      <c r="A60" s="18" t="n">
        <v>46661</v>
      </c>
      <c r="B60" s="9">
        <f>SUMIFS(Transactions!$E:$E,Transactions!$B:$B,"&gt;="&amp;A60,Transactions!$B:$B,"&lt;"&amp;EDATE(A60,1))</f>
        <v/>
      </c>
      <c r="C60" s="9">
        <f>SUMIFS(Transactions!$F:$F,Transactions!$B:$B,"&gt;="&amp;A60,Transactions!$B:$B,"&lt;"&amp;EDATE(A60,1))</f>
        <v/>
      </c>
      <c r="D60" s="9">
        <f>B60-C60</f>
        <v/>
      </c>
      <c r="E60" s="9">
        <f>SUMIFS(Transactions!$E:$E,Transactions!$B:$B,"&lt;"&amp;EDATE(A60,1))-SUMIFS(Transactions!$F:$F,Transactions!$B:$B,"&lt;"&amp;EDATE(A60,1))</f>
        <v/>
      </c>
    </row>
    <row r="61">
      <c r="A61" s="18" t="n">
        <v>46692</v>
      </c>
      <c r="B61" s="9">
        <f>SUMIFS(Transactions!$E:$E,Transactions!$B:$B,"&gt;="&amp;A61,Transactions!$B:$B,"&lt;"&amp;EDATE(A61,1))</f>
        <v/>
      </c>
      <c r="C61" s="9">
        <f>SUMIFS(Transactions!$F:$F,Transactions!$B:$B,"&gt;="&amp;A61,Transactions!$B:$B,"&lt;"&amp;EDATE(A61,1))</f>
        <v/>
      </c>
      <c r="D61" s="9">
        <f>B61-C61</f>
        <v/>
      </c>
      <c r="E61" s="9">
        <f>SUMIFS(Transactions!$E:$E,Transactions!$B:$B,"&lt;"&amp;EDATE(A61,1))-SUMIFS(Transactions!$F:$F,Transactions!$B:$B,"&lt;"&amp;EDATE(A61,1))</f>
        <v/>
      </c>
    </row>
    <row r="62">
      <c r="A62" s="18" t="n">
        <v>46722</v>
      </c>
      <c r="B62" s="9">
        <f>SUMIFS(Transactions!$E:$E,Transactions!$B:$B,"&gt;="&amp;A62,Transactions!$B:$B,"&lt;"&amp;EDATE(A62,1))</f>
        <v/>
      </c>
      <c r="C62" s="9">
        <f>SUMIFS(Transactions!$F:$F,Transactions!$B:$B,"&gt;="&amp;A62,Transactions!$B:$B,"&lt;"&amp;EDATE(A62,1))</f>
        <v/>
      </c>
      <c r="D62" s="9">
        <f>B62-C62</f>
        <v/>
      </c>
      <c r="E62" s="9">
        <f>SUMIFS(Transactions!$E:$E,Transactions!$B:$B,"&lt;"&amp;EDATE(A62,1))-SUMIFS(Transactions!$F:$F,Transactions!$B:$B,"&lt;"&amp;EDATE(A62,1))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Debt Settlements Dashboard</t>
        </is>
      </c>
    </row>
    <row r="4">
      <c r="A4" s="4" t="inlineStr">
        <is>
          <t>Settlement amount (all)</t>
        </is>
      </c>
      <c r="B4" s="5">
        <f>SUM(Debt_Settlements!F5:F500)</f>
        <v/>
      </c>
    </row>
    <row r="5">
      <c r="A5" s="4" t="inlineStr">
        <is>
          <t>Paid towards settlements</t>
        </is>
      </c>
      <c r="B5" s="5">
        <f>SUM(Debt_Settlements!G5:G500)</f>
        <v/>
      </c>
    </row>
    <row r="6">
      <c r="A6" s="4" t="inlineStr">
        <is>
          <t>Unpaid settlement gap</t>
        </is>
      </c>
      <c r="B6" s="6">
        <f>B4-B5</f>
        <v/>
      </c>
    </row>
    <row r="7">
      <c r="A7" s="4" t="inlineStr">
        <is>
          <t>Paid but closure not confirmed</t>
        </is>
      </c>
      <c r="B7" s="12">
        <f>COUNTIFS(Debt_Settlements!I5:I500,"Paid",Debt_Settlements!J5:J500,"To Confirm")</f>
        <v/>
      </c>
    </row>
    <row r="8">
      <c r="A8" s="4" t="inlineStr">
        <is>
          <t>Rows still Not Updated</t>
        </is>
      </c>
      <c r="B8" s="12">
        <f>COUNTIF(Debt_Settlements!I5:I500,"Not Updated")</f>
        <v/>
      </c>
    </row>
    <row r="10">
      <c r="A10" s="3" t="inlineStr">
        <is>
          <t>By lender</t>
        </is>
      </c>
    </row>
    <row r="11" ht="22" customHeight="1">
      <c r="A11" s="8" t="inlineStr">
        <is>
          <t>Lender</t>
        </is>
      </c>
      <c r="B11" s="8" t="inlineStr">
        <is>
          <t>Paid</t>
        </is>
      </c>
    </row>
    <row r="12">
      <c r="A12" t="inlineStr">
        <is>
          <t>HDFC Bank</t>
        </is>
      </c>
      <c r="B12" s="9">
        <f>SUMIF(Debt_Settlements!B:B,A12,Debt_Settlements!G:G)</f>
        <v/>
      </c>
    </row>
    <row r="13">
      <c r="A13" t="inlineStr">
        <is>
          <t>ICICI Bank</t>
        </is>
      </c>
      <c r="B13" s="9">
        <f>SUMIF(Debt_Settlements!B:B,A13,Debt_Settlements!G:G)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Debt settlements</t>
        </is>
      </c>
    </row>
    <row r="2">
      <c r="A2" s="2" t="inlineStr">
        <is>
          <t>Track settlement vs closure. HDFC items are paid; confirm closure / no-dues. Fill ICICI amounts when known.</t>
        </is>
      </c>
    </row>
    <row r="4" ht="22" customHeight="1">
      <c r="A4" s="8" t="inlineStr">
        <is>
          <t>Debt_ID</t>
        </is>
      </c>
      <c r="B4" s="8" t="inlineStr">
        <is>
          <t>Lender</t>
        </is>
      </c>
      <c r="C4" s="8" t="inlineStr">
        <is>
          <t>Account_Ending</t>
        </is>
      </c>
      <c r="D4" s="8" t="inlineStr">
        <is>
          <t>Liability_Type</t>
        </is>
      </c>
      <c r="E4" s="8" t="inlineStr">
        <is>
          <t>Original_Outstanding</t>
        </is>
      </c>
      <c r="F4" s="8" t="inlineStr">
        <is>
          <t>Settlement_Amount</t>
        </is>
      </c>
      <c r="G4" s="8" t="inlineStr">
        <is>
          <t>Paid_Amount</t>
        </is>
      </c>
      <c r="H4" s="8" t="inlineStr">
        <is>
          <t>Settlement_Date</t>
        </is>
      </c>
      <c r="I4" s="8" t="inlineStr">
        <is>
          <t>Payment_Status</t>
        </is>
      </c>
      <c r="J4" s="8" t="inlineStr">
        <is>
          <t>Closure_Status</t>
        </is>
      </c>
      <c r="K4" s="8" t="inlineStr">
        <is>
          <t>No_Dues_Status</t>
        </is>
      </c>
      <c r="L4" s="8" t="inlineStr">
        <is>
          <t>Reference_UTR</t>
        </is>
      </c>
      <c r="M4" s="8" t="inlineStr">
        <is>
          <t>Notes</t>
        </is>
      </c>
    </row>
    <row r="5">
      <c r="A5" s="14" t="inlineStr">
        <is>
          <t>DEBT-001</t>
        </is>
      </c>
      <c r="B5" s="14" t="inlineStr">
        <is>
          <t>HDFC Bank</t>
        </is>
      </c>
      <c r="C5" s="14" t="inlineStr">
        <is>
          <t>5796</t>
        </is>
      </c>
      <c r="D5" s="14" t="inlineStr">
        <is>
          <t>Credit Card</t>
        </is>
      </c>
      <c r="E5" s="16" t="n"/>
      <c r="F5" s="16" t="n">
        <v>29000</v>
      </c>
      <c r="G5" s="16" t="n">
        <v>29000</v>
      </c>
      <c r="H5" s="15" t="n">
        <v>46255</v>
      </c>
      <c r="I5" s="14" t="inlineStr">
        <is>
          <t>Paid</t>
        </is>
      </c>
      <c r="J5" s="14" t="inlineStr">
        <is>
          <t>To Confirm</t>
        </is>
      </c>
      <c r="K5" s="14" t="inlineStr">
        <is>
          <t>To Confirm</t>
        </is>
      </c>
      <c r="L5" s="14" t="n"/>
      <c r="M5" s="14" t="inlineStr">
        <is>
          <t>Settlement paid as agreed</t>
        </is>
      </c>
    </row>
    <row r="6">
      <c r="A6" s="14" t="inlineStr">
        <is>
          <t>DEBT-002</t>
        </is>
      </c>
      <c r="B6" s="14" t="inlineStr">
        <is>
          <t>HDFC Bank</t>
        </is>
      </c>
      <c r="C6" s="14" t="inlineStr">
        <is>
          <t>8768</t>
        </is>
      </c>
      <c r="D6" s="14" t="inlineStr">
        <is>
          <t>HDFC liability – type to confirm</t>
        </is>
      </c>
      <c r="E6" s="16" t="n"/>
      <c r="F6" s="16" t="n">
        <v>46000</v>
      </c>
      <c r="G6" s="16" t="n">
        <v>46000</v>
      </c>
      <c r="H6" s="15" t="n">
        <v>46256</v>
      </c>
      <c r="I6" s="14" t="inlineStr">
        <is>
          <t>Paid</t>
        </is>
      </c>
      <c r="J6" s="14" t="inlineStr">
        <is>
          <t>To Confirm</t>
        </is>
      </c>
      <c r="K6" s="14" t="inlineStr">
        <is>
          <t>To Confirm</t>
        </is>
      </c>
      <c r="L6" s="14" t="n"/>
      <c r="M6" s="14" t="inlineStr">
        <is>
          <t>Settlement paid; confirm whether this is the Jumbo Loan</t>
        </is>
      </c>
    </row>
    <row r="7">
      <c r="A7" s="14" t="inlineStr">
        <is>
          <t>DEBT-003</t>
        </is>
      </c>
      <c r="B7" s="14" t="inlineStr">
        <is>
          <t>ICICI Bank</t>
        </is>
      </c>
      <c r="C7" s="14" t="n"/>
      <c r="D7" s="14" t="inlineStr">
        <is>
          <t>Loan / Credit facility</t>
        </is>
      </c>
      <c r="E7" s="16" t="n"/>
      <c r="F7" s="16" t="n"/>
      <c r="G7" s="16" t="n"/>
      <c r="H7" s="15" t="n"/>
      <c r="I7" s="14" t="inlineStr">
        <is>
          <t>Not Updated</t>
        </is>
      </c>
      <c r="J7" s="14" t="inlineStr">
        <is>
          <t>Not Confirmed</t>
        </is>
      </c>
      <c r="K7" s="14" t="inlineStr">
        <is>
          <t>Not Confirmed</t>
        </is>
      </c>
      <c r="L7" s="14" t="n"/>
      <c r="M7" s="14" t="inlineStr">
        <is>
          <t>Additional ICICI liability; details to be added</t>
        </is>
      </c>
    </row>
  </sheetData>
  <autoFilter ref="A4:M7"/>
  <dataValidations count="3">
    <dataValidation sqref="I5:I200" showDropDown="0" showInputMessage="0" showErrorMessage="0" allowBlank="1" errorTitle="Invalid value" error="Pick a value from the list" type="list">
      <formula1>=Setup!$A$6:$A$14</formula1>
    </dataValidation>
    <dataValidation sqref="J5:J200" showDropDown="0" showInputMessage="0" showErrorMessage="0" allowBlank="1" errorTitle="Invalid value" error="Pick a value from the list" type="list">
      <formula1>=Setup!$K$6:$K$9</formula1>
    </dataValidation>
    <dataValidation sqref="K5:K200" showDropDown="0" showInputMessage="0" showErrorMessage="0" allowBlank="1" errorTitle="Invalid value" error="Pick a value from the list" type="list">
      <formula1>=Setup!$K$6:$K$9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1" t="inlineStr">
        <is>
          <t>Phupa Dashboard</t>
        </is>
      </c>
    </row>
    <row r="2">
      <c r="A2" s="2" t="inlineStr">
        <is>
          <t>Fixes the old #VALUE! remaining balance (amounts are numbers now).</t>
        </is>
      </c>
    </row>
    <row r="4">
      <c r="A4" s="4" t="inlineStr">
        <is>
          <t>Total amount due</t>
        </is>
      </c>
      <c r="B4" s="5">
        <f>SUM(Phupa!D5:D500)</f>
        <v/>
      </c>
    </row>
    <row r="5">
      <c r="A5" s="4" t="inlineStr">
        <is>
          <t>Total received</t>
        </is>
      </c>
      <c r="B5" s="5">
        <f>SUM(Phupa!E5:E500)</f>
        <v/>
      </c>
    </row>
    <row r="6">
      <c r="A6" s="4" t="inlineStr">
        <is>
          <t>Remaining</t>
        </is>
      </c>
      <c r="B6" s="6">
        <f>B4-B5</f>
        <v/>
      </c>
    </row>
    <row r="8">
      <c r="A8" s="3" t="inlineStr">
        <is>
          <t>By category</t>
        </is>
      </c>
    </row>
    <row r="9" ht="22" customHeight="1">
      <c r="A9" s="8" t="inlineStr">
        <is>
          <t>Category</t>
        </is>
      </c>
      <c r="B9" s="8" t="inlineStr">
        <is>
          <t>Due</t>
        </is>
      </c>
      <c r="C9" s="8" t="inlineStr">
        <is>
          <t>Received</t>
        </is>
      </c>
    </row>
    <row r="10">
      <c r="A10" t="inlineStr">
        <is>
          <t>Tractor</t>
        </is>
      </c>
      <c r="B10" s="9">
        <f>SUMIF(Phupa!C:C,A10,Phupa!D:D)</f>
        <v/>
      </c>
      <c r="C10" s="9">
        <f>SUMIF(Phupa!C:C,A10,Phupa!E:E)</f>
        <v/>
      </c>
    </row>
    <row r="11">
      <c r="A11" t="inlineStr">
        <is>
          <t>Goats</t>
        </is>
      </c>
      <c r="B11" s="9">
        <f>SUMIF(Phupa!C:C,A11,Phupa!D:D)</f>
        <v/>
      </c>
      <c r="C11" s="9">
        <f>SUMIF(Phupa!C:C,A11,Phupa!E:E)</f>
        <v/>
      </c>
    </row>
    <row r="12">
      <c r="A12" t="inlineStr">
        <is>
          <t>Goat kids</t>
        </is>
      </c>
      <c r="B12" s="9">
        <f>SUMIF(Phupa!C:C,A12,Phupa!D:D)</f>
        <v/>
      </c>
      <c r="C12" s="9">
        <f>SUMIF(Phupa!C:C,A12,Phupa!E:E)</f>
        <v/>
      </c>
    </row>
    <row r="13">
      <c r="A13" t="inlineStr">
        <is>
          <t>Phupi</t>
        </is>
      </c>
      <c r="B13" s="9">
        <f>SUMIF(Phupa!C:C,A13,Phupa!D:D)</f>
        <v/>
      </c>
      <c r="C13" s="9">
        <f>SUMIF(Phupa!C:C,A13,Phupa!E:E)</f>
        <v/>
      </c>
    </row>
    <row r="14">
      <c r="A14" t="inlineStr">
        <is>
          <t>Opening amount already received</t>
        </is>
      </c>
      <c r="B14" s="9">
        <f>SUMIF(Phupa!C:C,A14,Phupa!D:D)</f>
        <v/>
      </c>
      <c r="C14" s="9">
        <f>SUMIF(Phupa!C:C,A14,Phupa!E:E)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Phupa ledger</t>
        </is>
      </c>
    </row>
    <row r="2">
      <c r="A2" s="2" t="inlineStr">
        <is>
          <t>Opening ₹7,00,000 received is one row. Add each new receipt as a new row. Remaining is calculated.</t>
        </is>
      </c>
    </row>
    <row r="4" ht="22" customHeight="1">
      <c r="A4" s="8" t="inlineStr">
        <is>
          <t>Transaction_ID</t>
        </is>
      </c>
      <c r="B4" s="8" t="inlineStr">
        <is>
          <t>Date</t>
        </is>
      </c>
      <c r="C4" s="8" t="inlineStr">
        <is>
          <t>Category</t>
        </is>
      </c>
      <c r="D4" s="8" t="inlineStr">
        <is>
          <t>Amount_Due</t>
        </is>
      </c>
      <c r="E4" s="8" t="inlineStr">
        <is>
          <t>Amount_Received</t>
        </is>
      </c>
      <c r="F4" s="8" t="inlineStr">
        <is>
          <t>Remaining</t>
        </is>
      </c>
      <c r="G4" s="8" t="inlineStr">
        <is>
          <t>Notes</t>
        </is>
      </c>
    </row>
    <row r="5">
      <c r="A5" s="14" t="inlineStr">
        <is>
          <t>PH-001</t>
        </is>
      </c>
      <c r="B5" s="15" t="n"/>
      <c r="C5" s="14" t="inlineStr">
        <is>
          <t>Tractor</t>
        </is>
      </c>
      <c r="D5" s="16" t="n">
        <v>480000</v>
      </c>
      <c r="E5" s="16" t="n">
        <v>0</v>
      </c>
      <c r="F5" s="16">
        <f>D5-E5</f>
        <v/>
      </c>
      <c r="G5" s="14" t="inlineStr">
        <is>
          <t>20 × ₹24,000</t>
        </is>
      </c>
    </row>
    <row r="6">
      <c r="A6" s="14" t="inlineStr">
        <is>
          <t>PH-002</t>
        </is>
      </c>
      <c r="B6" s="15" t="n"/>
      <c r="C6" s="14" t="inlineStr">
        <is>
          <t>Goats</t>
        </is>
      </c>
      <c r="D6" s="16" t="n">
        <v>110000</v>
      </c>
      <c r="E6" s="16" t="n">
        <v>0</v>
      </c>
      <c r="F6" s="16">
        <f>D6-E6</f>
        <v/>
      </c>
      <c r="G6" s="14" t="inlineStr">
        <is>
          <t>As previously provided</t>
        </is>
      </c>
    </row>
    <row r="7">
      <c r="A7" s="14" t="inlineStr">
        <is>
          <t>PH-003</t>
        </is>
      </c>
      <c r="B7" s="15" t="n"/>
      <c r="C7" s="14" t="inlineStr">
        <is>
          <t>Goat kids</t>
        </is>
      </c>
      <c r="D7" s="16" t="n">
        <v>320000</v>
      </c>
      <c r="E7" s="16" t="n">
        <v>0</v>
      </c>
      <c r="F7" s="16">
        <f>D7-E7</f>
        <v/>
      </c>
      <c r="G7" s="14" t="inlineStr">
        <is>
          <t>48 × average ₹40,000</t>
        </is>
      </c>
    </row>
    <row r="8">
      <c r="A8" s="14" t="inlineStr">
        <is>
          <t>PH-004</t>
        </is>
      </c>
      <c r="B8" s="15" t="n"/>
      <c r="C8" s="14" t="inlineStr">
        <is>
          <t>Phupi</t>
        </is>
      </c>
      <c r="D8" s="16" t="n">
        <v>100000</v>
      </c>
      <c r="E8" s="16" t="n">
        <v>0</v>
      </c>
      <c r="F8" s="16">
        <f>D8-E8</f>
        <v/>
      </c>
      <c r="G8" s="14" t="n"/>
    </row>
    <row r="9">
      <c r="A9" s="14" t="inlineStr">
        <is>
          <t>PH-005</t>
        </is>
      </c>
      <c r="B9" s="15" t="n"/>
      <c r="C9" s="14" t="inlineStr">
        <is>
          <t>Opening amount already received</t>
        </is>
      </c>
      <c r="D9" s="16" t="n">
        <v>0</v>
      </c>
      <c r="E9" s="16" t="n">
        <v>700000</v>
      </c>
      <c r="F9" s="16">
        <f>D9-E9</f>
        <v/>
      </c>
      <c r="G9" s="14" t="inlineStr">
        <is>
          <t>Approx. ₹7,00,000 already received before tracker setup; individual payment dates not available.</t>
        </is>
      </c>
    </row>
  </sheetData>
  <autoFilter ref="A4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Loans Dashboard</t>
        </is>
      </c>
    </row>
    <row r="2">
      <c r="A2" s="2" t="inlineStr">
        <is>
          <t>Master loan contracts only. Monthly bank EMIs are on EMI_Dashboard.</t>
        </is>
      </c>
    </row>
    <row r="4">
      <c r="A4" s="4" t="inlineStr">
        <is>
          <t>Original principal</t>
        </is>
      </c>
      <c r="B4" s="5">
        <f>SUM(Loans!G5:G500)</f>
        <v/>
      </c>
    </row>
    <row r="5">
      <c r="A5" s="4" t="inlineStr">
        <is>
          <t>Outstanding principal (where filled)</t>
        </is>
      </c>
      <c r="B5" s="6">
        <f>SUM(Loans!L5:L500)</f>
        <v/>
      </c>
    </row>
    <row r="6">
      <c r="A6" s="4" t="inlineStr">
        <is>
          <t>Monthly EMI (this sheet)</t>
        </is>
      </c>
      <c r="B6" s="5">
        <f>SUM(Loans!J5:J500)</f>
        <v/>
      </c>
    </row>
    <row r="7">
      <c r="A7" s="4" t="inlineStr">
        <is>
          <t>Active loans</t>
        </is>
      </c>
      <c r="B7" s="17">
        <f>COUNTIF(Loans!N:N,"Active")</f>
        <v/>
      </c>
    </row>
    <row r="9">
      <c r="A9" s="2" t="inlineStr">
        <is>
          <t>If a bank EMI is missing here, it is probably only on the EMI sheet — that is OK. Optionally add a matching Loans row later.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" t="inlineStr">
        <is>
          <t>Loan master</t>
        </is>
      </c>
    </row>
    <row r="2">
      <c r="A2" s="2" t="inlineStr">
        <is>
          <t>Use this for loan contracts. Use EMI sheet for the monthly installment register (Car, Bajaj, IDFC, Bike, PhonePe, Pocket4).</t>
        </is>
      </c>
    </row>
    <row r="4" ht="22" customHeight="1">
      <c r="A4" s="8" t="inlineStr">
        <is>
          <t>Loan_ID</t>
        </is>
      </c>
      <c r="B4" s="8" t="inlineStr">
        <is>
          <t>Loan_Name</t>
        </is>
      </c>
      <c r="C4" s="8" t="inlineStr">
        <is>
          <t>Lender</t>
        </is>
      </c>
      <c r="D4" s="8" t="inlineStr">
        <is>
          <t>Loan_Type</t>
        </is>
      </c>
      <c r="E4" s="8" t="inlineStr">
        <is>
          <t>Start_Date</t>
        </is>
      </c>
      <c r="F4" s="8" t="inlineStr">
        <is>
          <t>End_Date</t>
        </is>
      </c>
      <c r="G4" s="8" t="inlineStr">
        <is>
          <t>Original_Principal</t>
        </is>
      </c>
      <c r="H4" s="8" t="inlineStr">
        <is>
          <t>Interest_Rate_Pct</t>
        </is>
      </c>
      <c r="I4" s="8" t="inlineStr">
        <is>
          <t>Tenure_Months</t>
        </is>
      </c>
      <c r="J4" s="8" t="inlineStr">
        <is>
          <t>EMI</t>
        </is>
      </c>
      <c r="K4" s="8" t="inlineStr">
        <is>
          <t>EMIs_Paid</t>
        </is>
      </c>
      <c r="L4" s="8" t="inlineStr">
        <is>
          <t>Outstanding_Principal</t>
        </is>
      </c>
      <c r="M4" s="8" t="inlineStr">
        <is>
          <t>Next_EMI_Date</t>
        </is>
      </c>
      <c r="N4" s="8" t="inlineStr">
        <is>
          <t>Status</t>
        </is>
      </c>
      <c r="O4" s="8" t="inlineStr">
        <is>
          <t>Notes</t>
        </is>
      </c>
    </row>
    <row r="5">
      <c r="A5" s="14" t="inlineStr">
        <is>
          <t>LOAN-001</t>
        </is>
      </c>
      <c r="B5" s="14" t="inlineStr">
        <is>
          <t>ravindra_2L</t>
        </is>
      </c>
      <c r="C5" s="14" t="inlineStr">
        <is>
          <t>ravindra</t>
        </is>
      </c>
      <c r="D5" s="14" t="inlineStr">
        <is>
          <t>Personal Loan</t>
        </is>
      </c>
      <c r="E5" s="15" t="n"/>
      <c r="F5" s="15" t="n"/>
      <c r="G5" s="16" t="n">
        <v>200000</v>
      </c>
      <c r="H5" s="19" t="n">
        <v>0.02</v>
      </c>
      <c r="I5" s="14" t="n"/>
      <c r="J5" s="16" t="n">
        <v>35000</v>
      </c>
      <c r="K5" s="14" t="n">
        <v>0</v>
      </c>
      <c r="L5" s="16" t="n"/>
      <c r="M5" s="15" t="n"/>
      <c r="N5" s="14" t="inlineStr">
        <is>
          <t>Active</t>
        </is>
      </c>
      <c r="O5" s="14" t="inlineStr">
        <is>
          <t>Possible EMI ₹35,000 was in Loans!B3 (unlabeled). Confirm whether it belongs in the EMI column.</t>
        </is>
      </c>
    </row>
  </sheetData>
  <autoFilter ref="A4:O5"/>
  <dataValidations count="1">
    <dataValidation sqref="N5:N200" showDropDown="0" showInputMessage="0" showErrorMessage="0" allowBlank="1" errorTitle="Invalid value" error="Pick a value from the list" type="list">
      <formula1>=Setup!$I$6:$I$8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4" customWidth="1" min="5" max="5"/>
    <col width="18" customWidth="1" min="7" max="7"/>
    <col width="12" customWidth="1" min="9" max="9"/>
    <col width="16" customWidth="1" min="11" max="11"/>
  </cols>
  <sheetData>
    <row r="1">
      <c r="A1" s="1" t="inlineStr">
        <is>
          <t>Setup &amp; dropdown lists</t>
        </is>
      </c>
    </row>
    <row r="2">
      <c r="A2" s="2" t="inlineStr">
        <is>
          <t>Edit lists here. Data sheets use these for Status, Method, and Category.</t>
        </is>
      </c>
    </row>
    <row r="5">
      <c r="A5" s="20" t="inlineStr">
        <is>
          <t>Status</t>
        </is>
      </c>
      <c r="C5" s="20" t="inlineStr">
        <is>
          <t>Payment_Method</t>
        </is>
      </c>
      <c r="E5" s="20" t="inlineStr">
        <is>
          <t>Child</t>
        </is>
      </c>
      <c r="G5" s="20" t="inlineStr">
        <is>
          <t>Fee_Type</t>
        </is>
      </c>
      <c r="I5" s="20" t="inlineStr">
        <is>
          <t>EMI_Status</t>
        </is>
      </c>
      <c r="K5" s="20" t="inlineStr">
        <is>
          <t>Closure_Status</t>
        </is>
      </c>
    </row>
    <row r="6">
      <c r="A6" t="inlineStr">
        <is>
          <t>Paid</t>
        </is>
      </c>
      <c r="C6" t="inlineStr">
        <is>
          <t>UPI</t>
        </is>
      </c>
      <c r="E6" t="inlineStr">
        <is>
          <t>Daughter</t>
        </is>
      </c>
      <c r="G6" t="inlineStr">
        <is>
          <t>Term 1</t>
        </is>
      </c>
      <c r="I6" t="inlineStr">
        <is>
          <t>Active</t>
        </is>
      </c>
      <c r="K6" t="inlineStr">
        <is>
          <t>To Confirm</t>
        </is>
      </c>
    </row>
    <row r="7">
      <c r="A7" t="inlineStr">
        <is>
          <t>Due</t>
        </is>
      </c>
      <c r="C7" t="inlineStr">
        <is>
          <t>Bank/UPI</t>
        </is>
      </c>
      <c r="E7" t="inlineStr">
        <is>
          <t>Son</t>
        </is>
      </c>
      <c r="G7" t="inlineStr">
        <is>
          <t>Term 2</t>
        </is>
      </c>
      <c r="I7" t="inlineStr">
        <is>
          <t>Closed</t>
        </is>
      </c>
      <c r="K7" t="inlineStr">
        <is>
          <t>Confirmed</t>
        </is>
      </c>
    </row>
    <row r="8">
      <c r="A8" t="inlineStr">
        <is>
          <t>Partial</t>
        </is>
      </c>
      <c r="C8" t="inlineStr">
        <is>
          <t>Bank Transfer</t>
        </is>
      </c>
      <c r="G8" t="inlineStr">
        <is>
          <t>Term 3</t>
        </is>
      </c>
      <c r="I8" t="inlineStr">
        <is>
          <t>Paused</t>
        </is>
      </c>
      <c r="K8" t="inlineStr">
        <is>
          <t>Not Confirmed</t>
        </is>
      </c>
    </row>
    <row r="9">
      <c r="A9" t="inlineStr">
        <is>
          <t>Pending</t>
        </is>
      </c>
      <c r="C9" t="inlineStr">
        <is>
          <t>Cash</t>
        </is>
      </c>
      <c r="G9" t="inlineStr">
        <is>
          <t>Books &amp; Uniform</t>
        </is>
      </c>
      <c r="K9" t="inlineStr">
        <is>
          <t>Closed</t>
        </is>
      </c>
    </row>
    <row r="10">
      <c r="A10" t="inlineStr">
        <is>
          <t>Overdue</t>
        </is>
      </c>
      <c r="C10" t="inlineStr">
        <is>
          <t>Auto Debit</t>
        </is>
      </c>
      <c r="G10" t="inlineStr">
        <is>
          <t>Transport</t>
        </is>
      </c>
    </row>
    <row r="11">
      <c r="A11" t="inlineStr">
        <is>
          <t>Active</t>
        </is>
      </c>
      <c r="C11" t="inlineStr">
        <is>
          <t>Credit Card</t>
        </is>
      </c>
      <c r="G11" t="inlineStr">
        <is>
          <t>Exam</t>
        </is>
      </c>
    </row>
    <row r="12">
      <c r="A12" t="inlineStr">
        <is>
          <t>Closed</t>
        </is>
      </c>
      <c r="G12" t="inlineStr">
        <is>
          <t>Other</t>
        </is>
      </c>
    </row>
    <row r="13">
      <c r="A13" t="inlineStr">
        <is>
          <t>Skipped</t>
        </is>
      </c>
    </row>
    <row r="14">
      <c r="A14" t="inlineStr">
        <is>
          <t>Not Updated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How to maintain this workbook</t>
        </is>
      </c>
    </row>
    <row r="4">
      <c r="A4" t="inlineStr">
        <is>
          <t>1. Overview is the home page. Check it once a month.</t>
        </is>
      </c>
    </row>
    <row r="5">
      <c r="A5" t="inlineStr">
        <is>
          <t>2. Add every new payment as a NEW row on the matching data sheet. Do not overwrite old rows.</t>
        </is>
      </c>
    </row>
    <row r="6">
      <c r="A6" t="inlineStr">
        <is>
          <t>3. Store amounts as numbers. The ₹ format is applied automatically — do not type the ₹ symbol.</t>
        </is>
      </c>
    </row>
    <row r="7">
      <c r="A7" t="inlineStr">
        <is>
          <t>4. Store dates with Excel date picker (or DD-MMM-YYYY). Avoid 'Aug-2026' text if you can use 01-Aug-2026.</t>
        </is>
      </c>
    </row>
    <row r="8">
      <c r="A8" t="inlineStr">
        <is>
          <t>5. School_Fees: remaining = due − paid. Status should be Paid / Partial / Due.</t>
        </is>
      </c>
    </row>
    <row r="9">
      <c r="A9" t="inlineStr">
        <is>
          <t>6. EMI: this is your monthly installment register (Car, Bajaj, IDFC, Bike, PhonePe, Pocket4, insurance). Loans is for contract master data.</t>
        </is>
      </c>
    </row>
    <row r="10">
      <c r="A10" t="inlineStr">
        <is>
          <t>7. Chits: keep two master rows. Log each month in Chit_Payments (both sets live in one table now).</t>
        </is>
      </c>
    </row>
    <row r="11">
      <c r="A11" t="inlineStr">
        <is>
          <t>8. Transactions: Credit = received from friend; Debit = given. Running balance is automatic.</t>
        </is>
      </c>
    </row>
    <row r="12">
      <c r="A12" t="inlineStr">
        <is>
          <t>9. Debt_Settlements: HDFC ₹29,000 + ₹46,000 are paid; still confirm closure / no-dues. Add ICICI figures when known.</t>
        </is>
      </c>
    </row>
    <row r="13">
      <c r="A13" t="inlineStr">
        <is>
          <t>10. Phupa: remaining is now a formula. Add each new receipt as its own row so the ₹7,00,000 opening stays intact.</t>
        </is>
      </c>
    </row>
    <row r="14">
      <c r="A14" t="inlineStr">
        <is>
          <t>11. After adding rows, if a table does not expand, click any cell in the table → Table Design → Resize Table.</t>
        </is>
      </c>
    </row>
    <row r="15">
      <c r="A15" t="inlineStr">
        <is>
          <t>12. Dashboards and Overview recalculate when you open the file in Excel / Excel Online.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2026-09-18T12:43:01Z</dcterms:created>
  <dcterms:modified xsi:type="dcterms:W3CDTF">2026-09-18T12:43:01Z</dcterms:modified>
</cp:coreProperties>
</file>